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imonthang/Documents/partd-analysis/output/"/>
    </mc:Choice>
  </mc:AlternateContent>
  <xr:revisionPtr revIDLastSave="0" documentId="13_ncr:1_{B236D2BF-FF72-A545-BFF7-4B82CDADC4B3}" xr6:coauthVersionLast="47" xr6:coauthVersionMax="47" xr10:uidLastSave="{00000000-0000-0000-0000-000000000000}"/>
  <bookViews>
    <workbookView xWindow="0" yWindow="780" windowWidth="36000" windowHeight="21300" tabRatio="500" activeTab="2" xr2:uid="{00000000-000D-0000-FFFF-FFFF00000000}"/>
  </bookViews>
  <sheets>
    <sheet name="Read me" sheetId="1" r:id="rId1"/>
    <sheet name="Targets" sheetId="2" r:id="rId2"/>
    <sheet name="Savings model" sheetId="3" r:id="rId3"/>
    <sheet name="Excluded" sheetId="4" r:id="rId4"/>
    <sheet name="Validation" sheetId="5" r:id="rId5"/>
    <sheet name="SQ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1" i="3" l="1"/>
  <c r="G79" i="3"/>
  <c r="C79" i="3"/>
  <c r="B79" i="3"/>
  <c r="G78" i="3"/>
  <c r="F78" i="3"/>
  <c r="E78" i="3"/>
  <c r="E79" i="3" s="1"/>
  <c r="G77" i="3"/>
  <c r="F77" i="3"/>
  <c r="E77" i="3"/>
  <c r="G76" i="3"/>
  <c r="F76" i="3"/>
  <c r="E76" i="3"/>
  <c r="G75" i="3"/>
  <c r="F75" i="3"/>
  <c r="E75" i="3"/>
  <c r="G74" i="3"/>
  <c r="F74" i="3"/>
  <c r="E74" i="3"/>
  <c r="G73" i="3"/>
  <c r="F73" i="3"/>
  <c r="E73" i="3"/>
  <c r="G72" i="3"/>
  <c r="F72" i="3"/>
  <c r="E72" i="3"/>
  <c r="G71" i="3"/>
  <c r="F71" i="3"/>
  <c r="E71" i="3"/>
  <c r="G70" i="3"/>
  <c r="F70" i="3"/>
  <c r="E70" i="3"/>
  <c r="G69" i="3"/>
  <c r="F69" i="3"/>
  <c r="E69" i="3"/>
  <c r="G68" i="3"/>
  <c r="F68" i="3"/>
  <c r="E68" i="3"/>
  <c r="G67" i="3"/>
  <c r="F67" i="3"/>
  <c r="E67" i="3"/>
  <c r="G66" i="3"/>
  <c r="F66" i="3"/>
  <c r="E66" i="3"/>
  <c r="G65" i="3"/>
  <c r="F65" i="3"/>
  <c r="E65" i="3"/>
  <c r="G64" i="3"/>
  <c r="F64" i="3"/>
  <c r="E64" i="3"/>
  <c r="G63" i="3"/>
  <c r="F63" i="3"/>
  <c r="E63" i="3"/>
  <c r="G62" i="3"/>
  <c r="F62" i="3"/>
  <c r="E62" i="3"/>
  <c r="G61" i="3"/>
  <c r="F61" i="3"/>
  <c r="E61" i="3"/>
  <c r="G60" i="3"/>
  <c r="F60" i="3"/>
  <c r="E60" i="3"/>
  <c r="G59" i="3"/>
  <c r="F59" i="3"/>
  <c r="E59" i="3"/>
  <c r="G58" i="3"/>
  <c r="F58" i="3"/>
  <c r="E58" i="3"/>
  <c r="G57" i="3"/>
  <c r="F57" i="3"/>
  <c r="E57" i="3"/>
  <c r="G56" i="3"/>
  <c r="F56" i="3"/>
  <c r="E56" i="3"/>
  <c r="G55" i="3"/>
  <c r="F55" i="3"/>
  <c r="E55" i="3"/>
  <c r="G54" i="3"/>
  <c r="F54" i="3"/>
  <c r="E54" i="3"/>
  <c r="G53" i="3"/>
  <c r="F53" i="3"/>
  <c r="E53" i="3"/>
  <c r="G52" i="3"/>
  <c r="F52" i="3"/>
  <c r="E52" i="3"/>
  <c r="G51" i="3"/>
  <c r="F51" i="3"/>
  <c r="E51" i="3"/>
  <c r="G50" i="3"/>
  <c r="F50" i="3"/>
  <c r="E50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E81" i="3" s="1"/>
  <c r="F79" i="3" l="1"/>
  <c r="F81" i="3"/>
</calcChain>
</file>

<file path=xl/sharedStrings.xml><?xml version="1.0" encoding="utf-8"?>
<sst xmlns="http://schemas.openxmlformats.org/spreadsheetml/2006/main" count="486" uniqueCount="398">
  <si>
    <t>Part D generic substitution analysis</t>
  </si>
  <si>
    <t>Which drug and which prescriber specialty should a single campaign target?</t>
  </si>
  <si>
    <t>Answer</t>
  </si>
  <si>
    <t>Icosapent ethyl (Vascepa), targeting internal medicine and family practice first. Brand share is 76.3% and rising (+2.2pp year over year) while every comparable molecule converts to generic on its own.</t>
  </si>
  <si>
    <t>Source data</t>
  </si>
  <si>
    <t>Dataset</t>
  </si>
  <si>
    <t>CMS Medicare Part D Prescribers - by Provider and Drug</t>
  </si>
  <si>
    <t>Data years</t>
  </si>
  <si>
    <t>DY2023 (released 2025-04) and DY2024 (released 2026-05)</t>
  </si>
  <si>
    <t>Brand/generic source</t>
  </si>
  <si>
    <t>FDA Orange Book, data file EOBZIP_2026_08</t>
  </si>
  <si>
    <t>Analysis as of</t>
  </si>
  <si>
    <t>2026-09-19</t>
  </si>
  <si>
    <t>Scale of the source</t>
  </si>
  <si>
    <t>Rows, DY2023</t>
  </si>
  <si>
    <t>Rows, DY2024</t>
  </si>
  <si>
    <t>Distinct prescribers, DY2024</t>
  </si>
  <si>
    <t>Published-file drug cost, DY2024</t>
  </si>
  <si>
    <t>Claims, DY2024</t>
  </si>
  <si>
    <t>Read these before quoting any number</t>
  </si>
  <si>
    <t>- Costs are GROSS OF MANUFACTURER REBATES, which are confidential. Net savings are lower and cannot be derived from public data.</t>
  </si>
  <si>
    <t>- CMS excludes prescriber-drug records with 10 or fewer claims, so this file is a subset of Part D and cannot reproduce a national total.</t>
  </si>
  <si>
    <t>- Figures are NATIONAL Part D. A plan sees its own share - roughly 1% of national lives implies roughly 1% of these dollars.</t>
  </si>
  <si>
    <t>- Tot_Benes is blank when 1-10: missing, not zero. 54.8% of rows.</t>
  </si>
  <si>
    <t>- 30-day fills are bottom-coded at 1.0 per claim, so short-course drugs are excluded from the ranking.</t>
  </si>
  <si>
    <t>- Biologics ($80.8B, 35.6% of spend) are out of scope: they have biosimilars, not generics.</t>
  </si>
  <si>
    <t>Candidate molecules</t>
  </si>
  <si>
    <t>Small molecules with a substitutable generic at a matched strength and dosage form, NTI and short-course drugs excluded. Sorted by gross opportunity.</t>
  </si>
  <si>
    <t>Molecule</t>
  </si>
  <si>
    <t>Brand 30-day fills</t>
  </si>
  <si>
    <t>Brand spend ($)</t>
  </si>
  <si>
    <t>Brand $/fill</t>
  </si>
  <si>
    <t>Generic $/fill</t>
  </si>
  <si>
    <t>Gap $/fill</t>
  </si>
  <si>
    <t>Brand share % (DY2024)</t>
  </si>
  <si>
    <t>Brand share change (pp)</t>
  </si>
  <si>
    <t>Gross opportunity ($)</t>
  </si>
  <si>
    <t>LENALIDOMIDE</t>
  </si>
  <si>
    <t>ICOSAPENT ETHYL</t>
  </si>
  <si>
    <t>DASATINIB</t>
  </si>
  <si>
    <t>GLATIRAMER ACETATE</t>
  </si>
  <si>
    <t>TIOTROPIUM BROMIDE</t>
  </si>
  <si>
    <t>DIMETHYL FUMARATE</t>
  </si>
  <si>
    <t>TERIFLUNOMIDE</t>
  </si>
  <si>
    <t>TOLVAPTAN</t>
  </si>
  <si>
    <t>LAMOTRIGINE</t>
  </si>
  <si>
    <t>LEVETIRACETAM</t>
  </si>
  <si>
    <t>AMBRISENTAN</t>
  </si>
  <si>
    <t>LACOSAMIDE</t>
  </si>
  <si>
    <t>BUPRENORPHINE</t>
  </si>
  <si>
    <t>IMATINIB MESYLATE</t>
  </si>
  <si>
    <t>MIFEPRISTONE</t>
  </si>
  <si>
    <t>LISDEXAMFETAMINE DIMESYLATE</t>
  </si>
  <si>
    <t>OXCARBAZEPINE</t>
  </si>
  <si>
    <t>CLOBAZAM</t>
  </si>
  <si>
    <t>PITAVASTATIN CALCIUM</t>
  </si>
  <si>
    <t>PREGABALIN</t>
  </si>
  <si>
    <t>LOTEPREDNOL ETABONATE</t>
  </si>
  <si>
    <t>BUDESONIDE</t>
  </si>
  <si>
    <t>ROFLUMILAST</t>
  </si>
  <si>
    <t>ABIRATERONE ACETATE</t>
  </si>
  <si>
    <t>TASIMELTEON</t>
  </si>
  <si>
    <t>EVEROLIMUS</t>
  </si>
  <si>
    <t>TIOPRONIN</t>
  </si>
  <si>
    <t>BOSENTAN</t>
  </si>
  <si>
    <t>DIVALPROEX SODIUM</t>
  </si>
  <si>
    <t>DEFLAZACORT</t>
  </si>
  <si>
    <t>DROXIDOPA</t>
  </si>
  <si>
    <t>RUFINAMIDE</t>
  </si>
  <si>
    <t>OLANZAPINE</t>
  </si>
  <si>
    <t>SODIUM OXYBATE</t>
  </si>
  <si>
    <t>ROSUVASTATIN CALCIUM</t>
  </si>
  <si>
    <t>VIGABATRIN</t>
  </si>
  <si>
    <t>BRINZOLAMIDE</t>
  </si>
  <si>
    <t>PRIMIDONE</t>
  </si>
  <si>
    <t>MODAFINIL</t>
  </si>
  <si>
    <t>RIVASTIGMINE</t>
  </si>
  <si>
    <t>ATORVASTATIN CALCIUM</t>
  </si>
  <si>
    <t>DEFERASIROX</t>
  </si>
  <si>
    <t>OLMESARTAN MEDOXOMIL</t>
  </si>
  <si>
    <t>SUMATRIPTAN SUCCINATE</t>
  </si>
  <si>
    <t>ASENAPINE MALEATE</t>
  </si>
  <si>
    <t>TRAVOPROST</t>
  </si>
  <si>
    <t>ESZOPICLONE</t>
  </si>
  <si>
    <t>CELECOXIB</t>
  </si>
  <si>
    <t>TETRABENAZINE</t>
  </si>
  <si>
    <t>BEXAROTENE</t>
  </si>
  <si>
    <t>DUTASTERIDE</t>
  </si>
  <si>
    <t>LATANOPROST</t>
  </si>
  <si>
    <t>ENTECAVIR</t>
  </si>
  <si>
    <t>LISINOPRIL</t>
  </si>
  <si>
    <t>MARAVIROC</t>
  </si>
  <si>
    <t>TENOFOVIR DISOPROXIL FUMARATE</t>
  </si>
  <si>
    <t>RABEPRAZOLE SODIUM</t>
  </si>
  <si>
    <t>EZETIMIBE</t>
  </si>
  <si>
    <t>METOPROLOL SUCCINATE</t>
  </si>
  <si>
    <t>CARISOPRODOL</t>
  </si>
  <si>
    <t>SAPROPTERIN DIHYDROCHLORIDE</t>
  </si>
  <si>
    <t>SUNITINIB MALATE</t>
  </si>
  <si>
    <t>ANASTROZOLE</t>
  </si>
  <si>
    <t>FEBUXOSTAT</t>
  </si>
  <si>
    <t>SIROLIMUS</t>
  </si>
  <si>
    <t>MYCOPHENOLATE MOFETIL</t>
  </si>
  <si>
    <t>LANTHANUM CARBONATE</t>
  </si>
  <si>
    <t>BEPOTASTINE BESILATE</t>
  </si>
  <si>
    <t>TAZAROTENE</t>
  </si>
  <si>
    <t>ENALAPRIL MALEATE</t>
  </si>
  <si>
    <t>LOSARTAN POTASSIUM</t>
  </si>
  <si>
    <t>AZELAIC ACID</t>
  </si>
  <si>
    <t>GEFITINIB</t>
  </si>
  <si>
    <t>ETRAVIRINE</t>
  </si>
  <si>
    <t>PREDNISOLONE ACETATE</t>
  </si>
  <si>
    <t>RASAGILINE MESYLATE</t>
  </si>
  <si>
    <t>PENICILLAMINE</t>
  </si>
  <si>
    <t>HYDROXYUREA</t>
  </si>
  <si>
    <t>EXEMESTANE</t>
  </si>
  <si>
    <t>LUBIPROSTONE</t>
  </si>
  <si>
    <t>TRANYLCYPROMINE SULFATE</t>
  </si>
  <si>
    <t>LEFLUNOMIDE</t>
  </si>
  <si>
    <t>CANDESARTAN CILEXETIL</t>
  </si>
  <si>
    <t>TEMAZEPAM</t>
  </si>
  <si>
    <t>ATENOLOL</t>
  </si>
  <si>
    <t>LETROZOLE</t>
  </si>
  <si>
    <t>DISOPYRAMIDE PHOSPHATE</t>
  </si>
  <si>
    <t>ENOXAPARIN SODIUM</t>
  </si>
  <si>
    <t>RITONAVIR</t>
  </si>
  <si>
    <t>RAMELTEON</t>
  </si>
  <si>
    <t>DOXAZOSIN MESYLATE</t>
  </si>
  <si>
    <t>FONDAPARINUX SODIUM</t>
  </si>
  <si>
    <t>ETHACRYNIC ACID</t>
  </si>
  <si>
    <t>DIFLUPREDNATE</t>
  </si>
  <si>
    <t>IVERMECTIN</t>
  </si>
  <si>
    <t>LEVOCARNITINE</t>
  </si>
  <si>
    <t>ATOVAQUONE</t>
  </si>
  <si>
    <t>MESNA</t>
  </si>
  <si>
    <t>FLUOROMETHOLONE</t>
  </si>
  <si>
    <t>DOFETILIDE</t>
  </si>
  <si>
    <t>SPIRONOLACTONE</t>
  </si>
  <si>
    <t>TRIAMTERENE</t>
  </si>
  <si>
    <t>SUMATRIPTAN</t>
  </si>
  <si>
    <t>CARVEDILOL</t>
  </si>
  <si>
    <t>BICALUTAMIDE</t>
  </si>
  <si>
    <t>FINASTERIDE</t>
  </si>
  <si>
    <t>DIAZOXIDE</t>
  </si>
  <si>
    <t>METHYLPHENIDATE</t>
  </si>
  <si>
    <t>FORMOTEROL FUMARATE</t>
  </si>
  <si>
    <t>OXICONAZOLE NITRATE</t>
  </si>
  <si>
    <t>MISOPROSTOL</t>
  </si>
  <si>
    <t>FOSPHENYTOIN SODIUM</t>
  </si>
  <si>
    <t>BALSALAZIDE DISODIUM</t>
  </si>
  <si>
    <t>PENCICLOVIR</t>
  </si>
  <si>
    <t>EMTRICITABINE</t>
  </si>
  <si>
    <t>METHSUXIMIDE</t>
  </si>
  <si>
    <t>SULFASALAZINE</t>
  </si>
  <si>
    <t>DESLORATADINE</t>
  </si>
  <si>
    <t>EPLERENONE</t>
  </si>
  <si>
    <t>TRIAZOLAM</t>
  </si>
  <si>
    <t>NISOLDIPINE</t>
  </si>
  <si>
    <t>LIOTHYRONINE SODIUM</t>
  </si>
  <si>
    <t>PHENELZINE SULFATE</t>
  </si>
  <si>
    <t>MEDROXYPROGESTERONE ACETATE</t>
  </si>
  <si>
    <t>ZIPRASIDONE MESYLATE</t>
  </si>
  <si>
    <t>METHYLPREDNISOLONE ACETATE</t>
  </si>
  <si>
    <t>GEMFIBROZIL</t>
  </si>
  <si>
    <t>DANTROLENE SODIUM</t>
  </si>
  <si>
    <t>METHYLPREDNISOLONE</t>
  </si>
  <si>
    <t>Note</t>
  </si>
  <si>
    <t>Brand share change is the criterion that matters: a molecule already converting on its own does not need a campaign. Only icosapent ethyl is positive.</t>
  </si>
  <si>
    <t>Icosapent ethyl: savings by prescriber specialty</t>
  </si>
  <si>
    <t>Savings cells are formulas. Change a rate in B5:B7 and the whole table recalculates.</t>
  </si>
  <si>
    <t>Assumptions</t>
  </si>
  <si>
    <t>Conservative rate</t>
  </si>
  <si>
    <t>Floor - most residual brand fills carry a DAW code or a clinical reason</t>
  </si>
  <si>
    <t>Base rate</t>
  </si>
  <si>
    <t>Central estimate - scaled from a published academic detailing program</t>
  </si>
  <si>
    <t>Optimistic rate</t>
  </si>
  <si>
    <t>Ceiling, not a forecast - high-touch pharmacist outreach only</t>
  </si>
  <si>
    <t>Blue on yellow = input. Edit these; every savings figure below follows.</t>
  </si>
  <si>
    <t>Specialty</t>
  </si>
  <si>
    <t>Savings @ conservative</t>
  </si>
  <si>
    <t>Savings @ base</t>
  </si>
  <si>
    <t>Savings @ optimistic</t>
  </si>
  <si>
    <t>Internal Medicine</t>
  </si>
  <si>
    <t>Family Practice</t>
  </si>
  <si>
    <t>Nurse Practitioner</t>
  </si>
  <si>
    <t>Cardiology</t>
  </si>
  <si>
    <t>Physician Assistant</t>
  </si>
  <si>
    <t>Endocrinology</t>
  </si>
  <si>
    <t>General Practice</t>
  </si>
  <si>
    <t>Interventional Cardiology</t>
  </si>
  <si>
    <t>Nephrology</t>
  </si>
  <si>
    <t>Geriatric Medicine</t>
  </si>
  <si>
    <t>Ophthalmology</t>
  </si>
  <si>
    <t>General Surgery</t>
  </si>
  <si>
    <t>Emergency Medicine</t>
  </si>
  <si>
    <t>Osteopathic Manipulative Medicine</t>
  </si>
  <si>
    <t>Hospitalist</t>
  </si>
  <si>
    <t>Infectious Disease</t>
  </si>
  <si>
    <t>Student in an Organized Health Care Education/Training Program</t>
  </si>
  <si>
    <t>Clinical Cardiac Electrophysiology</t>
  </si>
  <si>
    <t>Advanced Heart Failure and Transplant Cardiology</t>
  </si>
  <si>
    <t>Pulmonary Disease</t>
  </si>
  <si>
    <t>Pediatric Medicine</t>
  </si>
  <si>
    <t>Neurology</t>
  </si>
  <si>
    <t>Psychiatry</t>
  </si>
  <si>
    <t>Obstetrics &amp; Gynecology</t>
  </si>
  <si>
    <t>Rheumatology</t>
  </si>
  <si>
    <t>Gastroenterology</t>
  </si>
  <si>
    <t>Pharmacist</t>
  </si>
  <si>
    <t>Legal Medicine</t>
  </si>
  <si>
    <t>Physical Medicine and Rehabilitation</t>
  </si>
  <si>
    <t>Registered Nurse</t>
  </si>
  <si>
    <t>Certified Clinical Nurse Specialist</t>
  </si>
  <si>
    <t>Interventional Pain Management</t>
  </si>
  <si>
    <t>Nuclear Medicine</t>
  </si>
  <si>
    <t>Diagnostic Radiology</t>
  </si>
  <si>
    <t>Hematology-Oncology</t>
  </si>
  <si>
    <t>Allergy/ Immunology</t>
  </si>
  <si>
    <t>Anesthesiology</t>
  </si>
  <si>
    <t>Specialist</t>
  </si>
  <si>
    <t>Cardiac Surgery</t>
  </si>
  <si>
    <t>Hospice and Palliative Care</t>
  </si>
  <si>
    <t>Optometry</t>
  </si>
  <si>
    <t>Psychiatry &amp; Neurology</t>
  </si>
  <si>
    <t>Preventive Medicine</t>
  </si>
  <si>
    <t>Vascular Surgery</t>
  </si>
  <si>
    <t>Family Medicine</t>
  </si>
  <si>
    <t>Pain Management</t>
  </si>
  <si>
    <t>Undefined Physician type</t>
  </si>
  <si>
    <t>Sleep Medicine</t>
  </si>
  <si>
    <t>Addiction Medicine</t>
  </si>
  <si>
    <t>Peripheral Vascular Disease</t>
  </si>
  <si>
    <t>Critical Care (Intensivists)</t>
  </si>
  <si>
    <t>Sports Medicine</t>
  </si>
  <si>
    <t>Dermatology</t>
  </si>
  <si>
    <t>Interventional Radiology</t>
  </si>
  <si>
    <t>Behavior Analyst</t>
  </si>
  <si>
    <t>Radiation Oncology</t>
  </si>
  <si>
    <t>Adult Congenital Heart Disease</t>
  </si>
  <si>
    <t>Orthopaedic Surgery</t>
  </si>
  <si>
    <t>Dentist</t>
  </si>
  <si>
    <t>Otolaryngology</t>
  </si>
  <si>
    <t>Orthopedic Surgery</t>
  </si>
  <si>
    <t>Chiropractic</t>
  </si>
  <si>
    <t>Neuropsychiatry</t>
  </si>
  <si>
    <t>Urology</t>
  </si>
  <si>
    <t>Naturopath</t>
  </si>
  <si>
    <t>Psychologist, Clinical</t>
  </si>
  <si>
    <t>Physical Medicine &amp; Rehabilitation</t>
  </si>
  <si>
    <t>TOTAL</t>
  </si>
  <si>
    <t>Top 2 specialties only</t>
  </si>
  <si>
    <t>Gross of rebates. National Part D basis - a plan sees its own share.</t>
  </si>
  <si>
    <t>Candidates excluded from the ranking</t>
  </si>
  <si>
    <t>A generic exists for the ingredient, but at strengths or dosage forms the brand is not marketed in - so the CMS generic average is not a like-for-like comparison.</t>
  </si>
  <si>
    <t>Generic-only strength/form count</t>
  </si>
  <si>
    <t>Why excluded</t>
  </si>
  <si>
    <t>BIMATOPROST</t>
  </si>
  <si>
    <t>price gap not like-for-like</t>
  </si>
  <si>
    <t>BRIMONIDINE TARTRATE</t>
  </si>
  <si>
    <t>ALBUTEROL SULFATE</t>
  </si>
  <si>
    <t>RISPERIDONE</t>
  </si>
  <si>
    <t>LIDOCAINE</t>
  </si>
  <si>
    <t>IPRATROPIUM BROMIDE</t>
  </si>
  <si>
    <t>TOPIRAMATE</t>
  </si>
  <si>
    <t>ARIPIPRAZOLE</t>
  </si>
  <si>
    <t>BROMFENAC SODIUM</t>
  </si>
  <si>
    <t>TADALAFIL</t>
  </si>
  <si>
    <t>PIRFENIDONE</t>
  </si>
  <si>
    <t>DEFERIPRONE</t>
  </si>
  <si>
    <t>ZONISAMIDE</t>
  </si>
  <si>
    <t>LORAZEPAM</t>
  </si>
  <si>
    <t>FLUTICASONE PROPIONATE</t>
  </si>
  <si>
    <t>CLOZAPINE</t>
  </si>
  <si>
    <t>GABAPENTIN</t>
  </si>
  <si>
    <t>DARUNAVIR</t>
  </si>
  <si>
    <t>MESALAMINE</t>
  </si>
  <si>
    <t>OCTREOTIDE ACETATE</t>
  </si>
  <si>
    <t>QUETIAPINE FUMARATE</t>
  </si>
  <si>
    <t>ALPRAZOLAM</t>
  </si>
  <si>
    <t>SILDENAFIL CITRATE</t>
  </si>
  <si>
    <t>ESCITALOPRAM OXALATE</t>
  </si>
  <si>
    <t>COLCHICINE</t>
  </si>
  <si>
    <t>FELBAMATE</t>
  </si>
  <si>
    <t>VALSARTAN</t>
  </si>
  <si>
    <t>ESTRADIOL</t>
  </si>
  <si>
    <t>TOBRAMYCIN</t>
  </si>
  <si>
    <t>CLONAZEPAM</t>
  </si>
  <si>
    <t>ARMODAFINIL</t>
  </si>
  <si>
    <t>TRIAMCINOLONE ACETONIDE</t>
  </si>
  <si>
    <t>DIHYDROERGOTAMINE MESYLATE</t>
  </si>
  <si>
    <t>HYDROXYCHLOROQUINE SULFATE</t>
  </si>
  <si>
    <t>MONTELUKAST SODIUM</t>
  </si>
  <si>
    <t>BROMOCRIPTINE MESYLATE</t>
  </si>
  <si>
    <t>KETOROLAC TROMETHAMINE</t>
  </si>
  <si>
    <t>DICLOFENAC POTASSIUM</t>
  </si>
  <si>
    <t>CALCITRIOL</t>
  </si>
  <si>
    <t>MOMETASONE FUROATE</t>
  </si>
  <si>
    <t>TESTOSTERONE</t>
  </si>
  <si>
    <t>ATAZANAVIR SULFATE</t>
  </si>
  <si>
    <t>CROMOLYN SODIUM</t>
  </si>
  <si>
    <t>IRBESARTAN</t>
  </si>
  <si>
    <t>ALENDRONATE SODIUM</t>
  </si>
  <si>
    <t>BACLOFEN</t>
  </si>
  <si>
    <t>ITRACONAZOLE</t>
  </si>
  <si>
    <t>RISEDRONATE SODIUM</t>
  </si>
  <si>
    <t>MIRTAZAPINE</t>
  </si>
  <si>
    <t>CALCIPOTRIENE</t>
  </si>
  <si>
    <t>TOLTERODINE TARTRATE</t>
  </si>
  <si>
    <t>SUCRALFATE</t>
  </si>
  <si>
    <t>RILUZOLE</t>
  </si>
  <si>
    <t>PHENYTOIN</t>
  </si>
  <si>
    <t>ACYCLOVIR</t>
  </si>
  <si>
    <t>LAMIVUDINE</t>
  </si>
  <si>
    <t>METOPROLOL TARTRATE</t>
  </si>
  <si>
    <t>ZOLMITRIPTAN</t>
  </si>
  <si>
    <t>ISOSORBIDE DINITRATE</t>
  </si>
  <si>
    <t>FLUCONAZOLE</t>
  </si>
  <si>
    <t>CLINDAMYCIN PHOSPHATE</t>
  </si>
  <si>
    <t>RIFAMPIN</t>
  </si>
  <si>
    <t>FLUVASTATIN SODIUM</t>
  </si>
  <si>
    <t>FENOFIBRATE</t>
  </si>
  <si>
    <t>AZATHIOPRINE</t>
  </si>
  <si>
    <t>OSELTAMIVIR PHOSPHATE</t>
  </si>
  <si>
    <t>NIFEDIPINE</t>
  </si>
  <si>
    <t>IBUPROFEN</t>
  </si>
  <si>
    <t>GLIPIZIDE</t>
  </si>
  <si>
    <t>ESTRADIOL VALERATE</t>
  </si>
  <si>
    <t>Worked example: bimatoprost</t>
  </si>
  <si>
    <t>Lumigan 0.01% ophthalmic does have an AB-rated 0.01% generic, so it is a real target. But CMS 'generic bimatoprost' blends that with cheaper, higher-volume 0.03% products - the Latisse-equivalent topical and generics of the discontinued 0.03% ophthalmic. The $210 gap is real arithmetic on the wrong comparison. CMS carries no strength field, so this cannot be fixed inside the claims data.</t>
  </si>
  <si>
    <t>Validation checks</t>
  </si>
  <si>
    <t>Run by sql/03_validation.sql against 54,818,770 rows across DY2023 and DY2024.</t>
  </si>
  <si>
    <t>Check</t>
  </si>
  <si>
    <t>Result</t>
  </si>
  <si>
    <t>Evidence</t>
  </si>
  <si>
    <t>01 row count by year</t>
  </si>
  <si>
    <t>INFO</t>
  </si>
  <si>
    <t>2023: 26794878</t>
  </si>
  <si>
    <t>2024: 28023892</t>
  </si>
  <si>
    <t>02 no duplicate npi-brand-generic keys</t>
  </si>
  <si>
    <t>PASS</t>
  </si>
  <si>
    <t>0 duplicate keys</t>
  </si>
  <si>
    <t>03 min claims = 11 (CMS drops &lt;=10 claims)</t>
  </si>
  <si>
    <t>min claims = 11</t>
  </si>
  <si>
    <t>04 30-day fills &gt;= claims (fills bottom-coded at 1.0)</t>
  </si>
  <si>
    <t>0 rows violate</t>
  </si>
  <si>
    <t>05a no negative cost</t>
  </si>
  <si>
    <t>0 rows &lt; 0</t>
  </si>
  <si>
    <t>05b zero-cost rows (expected: federally supplied drugs)</t>
  </si>
  <si>
    <t>31106 rows, top drug: ZONISAMIDE</t>
  </si>
  <si>
    <t>06 benes &lt;= claims where benes present</t>
  </si>
  <si>
    <t>07 ge65 flag domain is * # or null</t>
  </si>
  <si>
    <t>0 rows with unexpected flag</t>
  </si>
  <si>
    <t>08 suppressed-bene share (reported, not a pass/fail)</t>
  </si>
  <si>
    <t>54.8% of rows, 21.5% of claims</t>
  </si>
  <si>
    <t>09 cost per 30-day fill at or below $600000</t>
  </si>
  <si>
    <t>0 rows above ceiling</t>
  </si>
  <si>
    <t>10 both years present (needed for trend)</t>
  </si>
  <si>
    <t>years: 2023, 2024</t>
  </si>
  <si>
    <t>The SQL behind every sheet</t>
  </si>
  <si>
    <t>Each block below populates the sheet named in its heading. Full pipeline in sql/01_load.sql, 02_metrics.sql, 03_validation.sql, 04_orange_book.sql.</t>
  </si>
  <si>
    <t>-- sheet: Targets</t>
  </si>
  <si>
    <t>SELECT generic_name                        AS "Molecule",</t>
  </si>
  <si>
    <t xml:space="preserve">       ROUND(brand_fills)                  AS "Brand 30-day fills",</t>
  </si>
  <si>
    <t xml:space="preserve">       ROUND(brand_cost)                   AS "Brand spend ($)",</t>
  </si>
  <si>
    <t xml:space="preserve">       brand_cpf                           AS "Brand $/fill",</t>
  </si>
  <si>
    <t xml:space="preserve">       generic_cpf                         AS "Generic $/fill",</t>
  </si>
  <si>
    <t xml:space="preserve">       price_gap                           AS "Gap $/fill",</t>
  </si>
  <si>
    <t xml:space="preserve">       brand_share_pct                     AS "Brand share % (DY2024)",</t>
  </si>
  <si>
    <t xml:space="preserve">       brand_share_chg_pp                  AS "Brand share change (pp)",</t>
  </si>
  <si>
    <t xml:space="preserve">       gross_opportunity                   AS "Gross opportunity ($)"</t>
  </si>
  <si>
    <t>FROM molecule_candidates</t>
  </si>
  <si>
    <t>WHERE price_gap_reliable</t>
  </si>
  <si>
    <t>ORDER BY gross_opportunity DESC</t>
  </si>
  <si>
    <t>-- sheet: Savings model</t>
  </si>
  <si>
    <t>SELECT specialty                           AS "Specialty",</t>
  </si>
  <si>
    <t xml:space="preserve">       price_gap                           AS "Gap $/fill"</t>
  </si>
  <si>
    <t>FROM target_candidates</t>
  </si>
  <si>
    <t>WHERE generic_name = 'ICOSAPENT ETHYL'</t>
  </si>
  <si>
    <t>ORDER BY brand_fills DESC</t>
  </si>
  <si>
    <t>-- sheet: Excluded</t>
  </si>
  <si>
    <t>SELECT m.generic_name                      AS "Molecule",</t>
  </si>
  <si>
    <t xml:space="preserve">       ROUND(m.brand_fills)                AS "Brand 30-day fills",</t>
  </si>
  <si>
    <t xml:space="preserve">       m.generic_only_forms                AS "Generic-only strength/form count",</t>
  </si>
  <si>
    <t xml:space="preserve">       'price gap not like-for-like'       AS "Why excluded"</t>
  </si>
  <si>
    <t>FROM molecule_candidates m</t>
  </si>
  <si>
    <t>WHERE NOT m.price_gap_reliable</t>
  </si>
  <si>
    <t>ORDER BY m.gross_opportunity DESC</t>
  </si>
  <si>
    <t>-- the brand/generic classifier (sql/04_orange_book.sql)</t>
  </si>
  <si>
    <t>CREATE OR REPLACE TABLE ob_pairs AS</t>
  </si>
  <si>
    <t>SELECT DISTINCT b.ingredient, b.strength, b.df_route</t>
  </si>
  <si>
    <t>FROM ob_products b</t>
  </si>
  <si>
    <t>JOIN ob_products g</t>
  </si>
  <si>
    <t xml:space="preserve">  ON g.ingredient = b.ingredient</t>
  </si>
  <si>
    <t xml:space="preserve"> AND g.strength   = b.strength</t>
  </si>
  <si>
    <t xml:space="preserve"> AND g.df_route   = b.df_route</t>
  </si>
  <si>
    <t>WHERE b.appl_type='N' AND b.mkt_type &lt;&gt; 'DISCN'</t>
  </si>
  <si>
    <t xml:space="preserve">  AND g.appl_type='A' AND g.mkt_type &lt;&gt; 'DISCN'</t>
  </si>
  <si>
    <t xml:space="preserve">  AND g.te_code LIKE 'A%';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</si>
</sst>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\%"/>
    <numFmt numFmtId="166" formatCode="\+0.0;\-0.0;0.0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9C0006"/>
      <name val="Arial"/>
      <family val="2"/>
    </font>
    <font>
      <b/>
      <sz val="10"/>
      <color rgb="FF006100"/>
      <name val="Arial"/>
      <family val="2"/>
    </font>
    <font>
      <sz val="10"/>
      <color rgb="FF006100"/>
      <name val="Arial"/>
      <family val="2"/>
    </font>
    <font>
      <b/>
      <sz val="10"/>
      <color rgb="FF0000FF"/>
      <name val="Arial"/>
      <family val="2"/>
    </font>
    <font>
      <sz val="9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6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7" fillId="0" borderId="1" xfId="0" applyNumberFormat="1" applyFont="1" applyBorder="1"/>
    <xf numFmtId="166" fontId="4" fillId="0" borderId="1" xfId="0" applyNumberFormat="1" applyFont="1" applyBorder="1"/>
    <xf numFmtId="166" fontId="8" fillId="0" borderId="1" xfId="0" applyNumberFormat="1" applyFont="1" applyBorder="1"/>
    <xf numFmtId="9" fontId="9" fillId="3" borderId="1" xfId="0" applyNumberFormat="1" applyFont="1" applyFill="1" applyBorder="1"/>
    <xf numFmtId="0" fontId="7" fillId="0" borderId="1" xfId="0" applyFont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zoomScaleNormal="100" workbookViewId="0"/>
  </sheetViews>
  <sheetFormatPr baseColWidth="10" defaultColWidth="8.6640625" defaultRowHeight="15" x14ac:dyDescent="0.2"/>
  <cols>
    <col min="1" max="1" width="34" customWidth="1"/>
    <col min="2" max="6" width="18" customWidth="1"/>
  </cols>
  <sheetData>
    <row r="1" spans="1:6" ht="18" x14ac:dyDescent="0.2">
      <c r="A1" s="5" t="s">
        <v>0</v>
      </c>
    </row>
    <row r="2" spans="1:6" x14ac:dyDescent="0.2">
      <c r="A2" s="6" t="s">
        <v>1</v>
      </c>
    </row>
    <row r="4" spans="1:6" x14ac:dyDescent="0.2">
      <c r="A4" s="7" t="s">
        <v>2</v>
      </c>
    </row>
    <row r="5" spans="1:6" ht="15" customHeight="1" x14ac:dyDescent="0.2">
      <c r="A5" s="4" t="s">
        <v>3</v>
      </c>
      <c r="B5" s="4"/>
      <c r="C5" s="4"/>
      <c r="D5" s="4"/>
      <c r="E5" s="4"/>
      <c r="F5" s="4"/>
    </row>
    <row r="6" spans="1:6" x14ac:dyDescent="0.2">
      <c r="A6" s="4"/>
      <c r="B6" s="4"/>
      <c r="C6" s="4"/>
      <c r="D6" s="4"/>
      <c r="E6" s="4"/>
      <c r="F6" s="4"/>
    </row>
    <row r="7" spans="1:6" x14ac:dyDescent="0.2">
      <c r="A7" s="4"/>
      <c r="B7" s="4"/>
      <c r="C7" s="4"/>
      <c r="D7" s="4"/>
      <c r="E7" s="4"/>
      <c r="F7" s="4"/>
    </row>
    <row r="9" spans="1:6" x14ac:dyDescent="0.2">
      <c r="A9" s="7" t="s">
        <v>4</v>
      </c>
    </row>
    <row r="10" spans="1:6" x14ac:dyDescent="0.2">
      <c r="A10" s="8" t="s">
        <v>5</v>
      </c>
      <c r="B10" s="8" t="s">
        <v>6</v>
      </c>
    </row>
    <row r="11" spans="1:6" x14ac:dyDescent="0.2">
      <c r="A11" s="8" t="s">
        <v>7</v>
      </c>
      <c r="B11" s="8" t="s">
        <v>8</v>
      </c>
    </row>
    <row r="12" spans="1:6" x14ac:dyDescent="0.2">
      <c r="A12" s="8" t="s">
        <v>9</v>
      </c>
      <c r="B12" s="8" t="s">
        <v>10</v>
      </c>
    </row>
    <row r="13" spans="1:6" x14ac:dyDescent="0.2">
      <c r="A13" s="8" t="s">
        <v>11</v>
      </c>
      <c r="B13" s="8" t="s">
        <v>12</v>
      </c>
    </row>
    <row r="15" spans="1:6" x14ac:dyDescent="0.2">
      <c r="A15" s="7" t="s">
        <v>13</v>
      </c>
    </row>
    <row r="16" spans="1:6" x14ac:dyDescent="0.2">
      <c r="A16" s="8" t="s">
        <v>14</v>
      </c>
      <c r="B16" s="9">
        <v>26794878</v>
      </c>
    </row>
    <row r="17" spans="1:6" x14ac:dyDescent="0.2">
      <c r="A17" s="8" t="s">
        <v>15</v>
      </c>
      <c r="B17" s="9">
        <v>28023892</v>
      </c>
    </row>
    <row r="18" spans="1:6" x14ac:dyDescent="0.2">
      <c r="A18" s="8" t="s">
        <v>16</v>
      </c>
      <c r="B18" s="9">
        <v>1139455</v>
      </c>
    </row>
    <row r="19" spans="1:6" x14ac:dyDescent="0.2">
      <c r="A19" s="8" t="s">
        <v>17</v>
      </c>
      <c r="B19" s="9">
        <v>226740902131</v>
      </c>
    </row>
    <row r="20" spans="1:6" x14ac:dyDescent="0.2">
      <c r="A20" s="8" t="s">
        <v>18</v>
      </c>
      <c r="B20" s="9">
        <v>1479628807</v>
      </c>
    </row>
    <row r="22" spans="1:6" x14ac:dyDescent="0.2">
      <c r="A22" s="7" t="s">
        <v>19</v>
      </c>
    </row>
    <row r="23" spans="1:6" ht="25.5" customHeight="1" x14ac:dyDescent="0.2">
      <c r="A23" s="3" t="s">
        <v>20</v>
      </c>
      <c r="B23" s="3"/>
      <c r="C23" s="3"/>
      <c r="D23" s="3"/>
      <c r="E23" s="3"/>
      <c r="F23" s="3"/>
    </row>
    <row r="24" spans="1:6" ht="25.5" customHeight="1" x14ac:dyDescent="0.2">
      <c r="A24" s="3" t="s">
        <v>21</v>
      </c>
      <c r="B24" s="3"/>
      <c r="C24" s="3"/>
      <c r="D24" s="3"/>
      <c r="E24" s="3"/>
      <c r="F24" s="3"/>
    </row>
    <row r="25" spans="1:6" ht="25.5" customHeight="1" x14ac:dyDescent="0.2">
      <c r="A25" s="3" t="s">
        <v>22</v>
      </c>
      <c r="B25" s="3"/>
      <c r="C25" s="3"/>
      <c r="D25" s="3"/>
      <c r="E25" s="3"/>
      <c r="F25" s="3"/>
    </row>
    <row r="26" spans="1:6" ht="25.5" customHeight="1" x14ac:dyDescent="0.2">
      <c r="A26" s="3" t="s">
        <v>23</v>
      </c>
      <c r="B26" s="3"/>
      <c r="C26" s="3"/>
      <c r="D26" s="3"/>
      <c r="E26" s="3"/>
      <c r="F26" s="3"/>
    </row>
    <row r="27" spans="1:6" ht="25.5" customHeight="1" x14ac:dyDescent="0.2">
      <c r="A27" s="3" t="s">
        <v>24</v>
      </c>
      <c r="B27" s="3"/>
      <c r="C27" s="3"/>
      <c r="D27" s="3"/>
      <c r="E27" s="3"/>
      <c r="F27" s="3"/>
    </row>
    <row r="28" spans="1:6" ht="25.5" customHeight="1" x14ac:dyDescent="0.2">
      <c r="A28" s="3" t="s">
        <v>25</v>
      </c>
      <c r="B28" s="3"/>
      <c r="C28" s="3"/>
      <c r="D28" s="3"/>
      <c r="E28" s="3"/>
      <c r="F28" s="3"/>
    </row>
  </sheetData>
  <mergeCells count="7">
    <mergeCell ref="A27:F27"/>
    <mergeCell ref="A28:F28"/>
    <mergeCell ref="A5:F7"/>
    <mergeCell ref="A23:F23"/>
    <mergeCell ref="A24:F24"/>
    <mergeCell ref="A25:F25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6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3" width="16" customWidth="1"/>
    <col min="4" max="4" width="12" customWidth="1"/>
    <col min="5" max="5" width="13" customWidth="1"/>
    <col min="6" max="6" width="11" customWidth="1"/>
    <col min="7" max="8" width="14" customWidth="1"/>
    <col min="9" max="9" width="18" customWidth="1"/>
  </cols>
  <sheetData>
    <row r="1" spans="1:9" ht="18" x14ac:dyDescent="0.2">
      <c r="A1" s="5" t="s">
        <v>26</v>
      </c>
    </row>
    <row r="2" spans="1:9" x14ac:dyDescent="0.2">
      <c r="A2" s="6" t="s">
        <v>27</v>
      </c>
    </row>
    <row r="4" spans="1:9" ht="30" customHeight="1" x14ac:dyDescent="0.2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35</v>
      </c>
      <c r="I4" s="10" t="s">
        <v>36</v>
      </c>
    </row>
    <row r="5" spans="1:9" x14ac:dyDescent="0.2">
      <c r="A5" s="11" t="s">
        <v>37</v>
      </c>
      <c r="B5" s="12">
        <v>217415</v>
      </c>
      <c r="C5" s="13">
        <v>3788009700</v>
      </c>
      <c r="D5" s="13">
        <v>17422.97</v>
      </c>
      <c r="E5" s="13">
        <v>13326.24</v>
      </c>
      <c r="F5" s="13">
        <v>4096.7299999999996</v>
      </c>
      <c r="G5" s="14">
        <v>55.3</v>
      </c>
      <c r="H5" s="15">
        <v>-10.5</v>
      </c>
      <c r="I5" s="13">
        <v>890689302</v>
      </c>
    </row>
    <row r="6" spans="1:9" x14ac:dyDescent="0.2">
      <c r="A6" s="16" t="s">
        <v>38</v>
      </c>
      <c r="B6" s="17">
        <v>1809056</v>
      </c>
      <c r="C6" s="18">
        <v>561873505</v>
      </c>
      <c r="D6" s="18">
        <v>310.58999999999997</v>
      </c>
      <c r="E6" s="18">
        <v>154.11000000000001</v>
      </c>
      <c r="F6" s="18">
        <v>156.47999999999999</v>
      </c>
      <c r="G6" s="19">
        <v>76.3</v>
      </c>
      <c r="H6" s="20">
        <v>2.2000000000000002</v>
      </c>
      <c r="I6" s="18">
        <v>283077063</v>
      </c>
    </row>
    <row r="7" spans="1:9" x14ac:dyDescent="0.2">
      <c r="A7" s="11" t="s">
        <v>39</v>
      </c>
      <c r="B7" s="12">
        <v>23209</v>
      </c>
      <c r="C7" s="13">
        <v>293417056</v>
      </c>
      <c r="D7" s="13">
        <v>12642.44</v>
      </c>
      <c r="E7" s="13">
        <v>6777.04</v>
      </c>
      <c r="F7" s="13">
        <v>5865.4</v>
      </c>
      <c r="G7" s="14">
        <v>99</v>
      </c>
      <c r="H7" s="21"/>
      <c r="I7" s="13">
        <v>136129469</v>
      </c>
    </row>
    <row r="8" spans="1:9" x14ac:dyDescent="0.2">
      <c r="A8" s="11" t="s">
        <v>40</v>
      </c>
      <c r="B8" s="12">
        <v>34366</v>
      </c>
      <c r="C8" s="13">
        <v>199193713</v>
      </c>
      <c r="D8" s="13">
        <v>5796.26</v>
      </c>
      <c r="E8" s="13">
        <v>2102.27</v>
      </c>
      <c r="F8" s="13">
        <v>3693.99</v>
      </c>
      <c r="G8" s="14">
        <v>42.4</v>
      </c>
      <c r="H8" s="15">
        <v>-7.2</v>
      </c>
      <c r="I8" s="13">
        <v>126947230</v>
      </c>
    </row>
    <row r="9" spans="1:9" x14ac:dyDescent="0.2">
      <c r="A9" s="11" t="s">
        <v>41</v>
      </c>
      <c r="B9" s="12">
        <v>1300481</v>
      </c>
      <c r="C9" s="13">
        <v>604585037</v>
      </c>
      <c r="D9" s="13">
        <v>464.89</v>
      </c>
      <c r="E9" s="13">
        <v>367.87</v>
      </c>
      <c r="F9" s="13">
        <v>97.03</v>
      </c>
      <c r="G9" s="14">
        <v>95.2</v>
      </c>
      <c r="H9" s="15">
        <v>-4.7</v>
      </c>
      <c r="I9" s="13">
        <v>126181354</v>
      </c>
    </row>
    <row r="10" spans="1:9" x14ac:dyDescent="0.2">
      <c r="A10" s="11" t="s">
        <v>42</v>
      </c>
      <c r="B10" s="12">
        <v>12370</v>
      </c>
      <c r="C10" s="13">
        <v>110832493</v>
      </c>
      <c r="D10" s="13">
        <v>8960.07</v>
      </c>
      <c r="E10" s="13">
        <v>890.3</v>
      </c>
      <c r="F10" s="13">
        <v>8069.77</v>
      </c>
      <c r="G10" s="14">
        <v>19.600000000000001</v>
      </c>
      <c r="H10" s="15">
        <v>-5.7</v>
      </c>
      <c r="I10" s="13">
        <v>99819854</v>
      </c>
    </row>
    <row r="11" spans="1:9" x14ac:dyDescent="0.2">
      <c r="A11" s="11" t="s">
        <v>43</v>
      </c>
      <c r="B11" s="12">
        <v>10661</v>
      </c>
      <c r="C11" s="13">
        <v>96646420</v>
      </c>
      <c r="D11" s="13">
        <v>9065.76</v>
      </c>
      <c r="E11" s="13">
        <v>1225.4000000000001</v>
      </c>
      <c r="F11" s="13">
        <v>7840.36</v>
      </c>
      <c r="G11" s="14">
        <v>16.8</v>
      </c>
      <c r="H11" s="15">
        <v>-38.9</v>
      </c>
      <c r="I11" s="13">
        <v>83582963</v>
      </c>
    </row>
    <row r="12" spans="1:9" x14ac:dyDescent="0.2">
      <c r="A12" s="11" t="s">
        <v>44</v>
      </c>
      <c r="B12" s="12">
        <v>4298</v>
      </c>
      <c r="C12" s="13">
        <v>80078803</v>
      </c>
      <c r="D12" s="13">
        <v>18632.939999999999</v>
      </c>
      <c r="E12" s="13">
        <v>3542.63</v>
      </c>
      <c r="F12" s="13">
        <v>15090.32</v>
      </c>
      <c r="G12" s="14">
        <v>51.5</v>
      </c>
      <c r="H12" s="15">
        <v>-0.2</v>
      </c>
      <c r="I12" s="13">
        <v>64853652</v>
      </c>
    </row>
    <row r="13" spans="1:9" x14ac:dyDescent="0.2">
      <c r="A13" s="11" t="s">
        <v>45</v>
      </c>
      <c r="B13" s="12">
        <v>50926</v>
      </c>
      <c r="C13" s="13">
        <v>62364713</v>
      </c>
      <c r="D13" s="13">
        <v>1224.6099999999999</v>
      </c>
      <c r="E13" s="13">
        <v>9.1</v>
      </c>
      <c r="F13" s="13">
        <v>1215.5</v>
      </c>
      <c r="G13" s="14">
        <v>0.9</v>
      </c>
      <c r="H13" s="15">
        <v>-0.1</v>
      </c>
      <c r="I13" s="13">
        <v>61901037</v>
      </c>
    </row>
    <row r="14" spans="1:9" x14ac:dyDescent="0.2">
      <c r="A14" s="11" t="s">
        <v>46</v>
      </c>
      <c r="B14" s="12">
        <v>41535</v>
      </c>
      <c r="C14" s="13">
        <v>53241599</v>
      </c>
      <c r="D14" s="13">
        <v>1281.8499999999999</v>
      </c>
      <c r="E14" s="13">
        <v>20.71</v>
      </c>
      <c r="F14" s="13">
        <v>1261.1400000000001</v>
      </c>
      <c r="G14" s="14">
        <v>0.7</v>
      </c>
      <c r="H14" s="15">
        <v>-0.1</v>
      </c>
      <c r="I14" s="13">
        <v>52381461</v>
      </c>
    </row>
    <row r="15" spans="1:9" x14ac:dyDescent="0.2">
      <c r="A15" s="11" t="s">
        <v>47</v>
      </c>
      <c r="B15" s="12">
        <v>4604</v>
      </c>
      <c r="C15" s="13">
        <v>57486015</v>
      </c>
      <c r="D15" s="13">
        <v>12486.1</v>
      </c>
      <c r="E15" s="13">
        <v>2964.59</v>
      </c>
      <c r="F15" s="13">
        <v>9521.52</v>
      </c>
      <c r="G15" s="14">
        <v>7.7</v>
      </c>
      <c r="H15" s="15">
        <v>-0.7</v>
      </c>
      <c r="I15" s="13">
        <v>43837057</v>
      </c>
    </row>
    <row r="16" spans="1:9" x14ac:dyDescent="0.2">
      <c r="A16" s="11" t="s">
        <v>48</v>
      </c>
      <c r="B16" s="12">
        <v>36277</v>
      </c>
      <c r="C16" s="13">
        <v>42721184</v>
      </c>
      <c r="D16" s="13">
        <v>1177.6199999999999</v>
      </c>
      <c r="E16" s="13">
        <v>100.32</v>
      </c>
      <c r="F16" s="13">
        <v>1077.3</v>
      </c>
      <c r="G16" s="14">
        <v>3.9</v>
      </c>
      <c r="H16" s="15">
        <v>-2.9</v>
      </c>
      <c r="I16" s="13">
        <v>39081777</v>
      </c>
    </row>
    <row r="17" spans="1:9" x14ac:dyDescent="0.2">
      <c r="A17" s="11" t="s">
        <v>49</v>
      </c>
      <c r="B17" s="12">
        <v>30375</v>
      </c>
      <c r="C17" s="13">
        <v>40110779</v>
      </c>
      <c r="D17" s="13">
        <v>1320.5</v>
      </c>
      <c r="E17" s="13">
        <v>246.49</v>
      </c>
      <c r="F17" s="13">
        <v>1074.01</v>
      </c>
      <c r="G17" s="14">
        <v>7.2</v>
      </c>
      <c r="H17" s="15">
        <v>-0.3</v>
      </c>
      <c r="I17" s="13">
        <v>32623508</v>
      </c>
    </row>
    <row r="18" spans="1:9" x14ac:dyDescent="0.2">
      <c r="A18" s="11" t="s">
        <v>50</v>
      </c>
      <c r="B18" s="12">
        <v>3299</v>
      </c>
      <c r="C18" s="13">
        <v>29339938</v>
      </c>
      <c r="D18" s="13">
        <v>8894.66</v>
      </c>
      <c r="E18" s="13">
        <v>1174.32</v>
      </c>
      <c r="F18" s="13">
        <v>7720.34</v>
      </c>
      <c r="G18" s="14">
        <v>3.1</v>
      </c>
      <c r="H18" s="15">
        <v>-0.5</v>
      </c>
      <c r="I18" s="13">
        <v>25466316</v>
      </c>
    </row>
    <row r="19" spans="1:9" x14ac:dyDescent="0.2">
      <c r="A19" s="11" t="s">
        <v>51</v>
      </c>
      <c r="B19" s="12">
        <v>7523</v>
      </c>
      <c r="C19" s="13">
        <v>260000732</v>
      </c>
      <c r="D19" s="13">
        <v>34560.78</v>
      </c>
      <c r="E19" s="13">
        <v>31536.61</v>
      </c>
      <c r="F19" s="13">
        <v>3024.17</v>
      </c>
      <c r="G19" s="14">
        <v>99.4</v>
      </c>
      <c r="H19" s="21"/>
      <c r="I19" s="13">
        <v>22750839</v>
      </c>
    </row>
    <row r="20" spans="1:9" x14ac:dyDescent="0.2">
      <c r="A20" s="11" t="s">
        <v>52</v>
      </c>
      <c r="B20" s="12">
        <v>115181</v>
      </c>
      <c r="C20" s="13">
        <v>45630501</v>
      </c>
      <c r="D20" s="13">
        <v>396.16</v>
      </c>
      <c r="E20" s="13">
        <v>213.64</v>
      </c>
      <c r="F20" s="13">
        <v>182.53</v>
      </c>
      <c r="G20" s="14">
        <v>55.3</v>
      </c>
      <c r="H20" s="15">
        <v>-40</v>
      </c>
      <c r="I20" s="13">
        <v>21023692</v>
      </c>
    </row>
    <row r="21" spans="1:9" x14ac:dyDescent="0.2">
      <c r="A21" s="11" t="s">
        <v>53</v>
      </c>
      <c r="B21" s="12">
        <v>18444</v>
      </c>
      <c r="C21" s="13">
        <v>21259839</v>
      </c>
      <c r="D21" s="13">
        <v>1152.68</v>
      </c>
      <c r="E21" s="13">
        <v>38.6</v>
      </c>
      <c r="F21" s="13">
        <v>1114.07</v>
      </c>
      <c r="G21" s="14">
        <v>1.4</v>
      </c>
      <c r="H21" s="15">
        <v>-0.3</v>
      </c>
      <c r="I21" s="13">
        <v>20547856</v>
      </c>
    </row>
    <row r="22" spans="1:9" x14ac:dyDescent="0.2">
      <c r="A22" s="11" t="s">
        <v>54</v>
      </c>
      <c r="B22" s="12">
        <v>8395</v>
      </c>
      <c r="C22" s="13">
        <v>20946268</v>
      </c>
      <c r="D22" s="13">
        <v>2494.94</v>
      </c>
      <c r="E22" s="13">
        <v>108.3</v>
      </c>
      <c r="F22" s="13">
        <v>2386.64</v>
      </c>
      <c r="G22" s="14">
        <v>4.7</v>
      </c>
      <c r="H22" s="15">
        <v>-0.6</v>
      </c>
      <c r="I22" s="13">
        <v>20037078</v>
      </c>
    </row>
    <row r="23" spans="1:9" x14ac:dyDescent="0.2">
      <c r="A23" s="11" t="s">
        <v>55</v>
      </c>
      <c r="B23" s="12">
        <v>94291</v>
      </c>
      <c r="C23" s="13">
        <v>28618670</v>
      </c>
      <c r="D23" s="13">
        <v>303.51</v>
      </c>
      <c r="E23" s="13">
        <v>105.72</v>
      </c>
      <c r="F23" s="13">
        <v>197.8</v>
      </c>
      <c r="G23" s="14">
        <v>42.8</v>
      </c>
      <c r="H23" s="15">
        <v>-57.1</v>
      </c>
      <c r="I23" s="13">
        <v>18650459</v>
      </c>
    </row>
    <row r="24" spans="1:9" x14ac:dyDescent="0.2">
      <c r="A24" s="11" t="s">
        <v>56</v>
      </c>
      <c r="B24" s="12">
        <v>24046</v>
      </c>
      <c r="C24" s="13">
        <v>16781716</v>
      </c>
      <c r="D24" s="13">
        <v>697.9</v>
      </c>
      <c r="E24" s="13">
        <v>20.5</v>
      </c>
      <c r="F24" s="13">
        <v>677.39</v>
      </c>
      <c r="G24" s="14">
        <v>0.3</v>
      </c>
      <c r="H24" s="15">
        <v>-0.1</v>
      </c>
      <c r="I24" s="13">
        <v>16288670</v>
      </c>
    </row>
    <row r="25" spans="1:9" x14ac:dyDescent="0.2">
      <c r="A25" s="11" t="s">
        <v>57</v>
      </c>
      <c r="B25" s="12">
        <v>79159</v>
      </c>
      <c r="C25" s="13">
        <v>23558060</v>
      </c>
      <c r="D25" s="13">
        <v>297.60000000000002</v>
      </c>
      <c r="E25" s="13">
        <v>114.77</v>
      </c>
      <c r="F25" s="13">
        <v>182.84</v>
      </c>
      <c r="G25" s="14">
        <v>29.4</v>
      </c>
      <c r="H25" s="15">
        <v>-13</v>
      </c>
      <c r="I25" s="13">
        <v>14473128</v>
      </c>
    </row>
    <row r="26" spans="1:9" x14ac:dyDescent="0.2">
      <c r="A26" s="11" t="s">
        <v>58</v>
      </c>
      <c r="B26" s="12">
        <v>32255</v>
      </c>
      <c r="C26" s="13">
        <v>16672004</v>
      </c>
      <c r="D26" s="13">
        <v>516.88</v>
      </c>
      <c r="E26" s="13">
        <v>168.6</v>
      </c>
      <c r="F26" s="13">
        <v>348.28</v>
      </c>
      <c r="G26" s="14">
        <v>20.2</v>
      </c>
      <c r="H26" s="15">
        <v>-4.5</v>
      </c>
      <c r="I26" s="13">
        <v>11233789</v>
      </c>
    </row>
    <row r="27" spans="1:9" x14ac:dyDescent="0.2">
      <c r="A27" s="11" t="s">
        <v>59</v>
      </c>
      <c r="B27" s="12">
        <v>14810</v>
      </c>
      <c r="C27" s="13">
        <v>10780262</v>
      </c>
      <c r="D27" s="13">
        <v>727.92</v>
      </c>
      <c r="E27" s="13">
        <v>59.27</v>
      </c>
      <c r="F27" s="13">
        <v>668.65</v>
      </c>
      <c r="G27" s="14">
        <v>3.9</v>
      </c>
      <c r="H27" s="15">
        <v>-5.9</v>
      </c>
      <c r="I27" s="13">
        <v>9902557</v>
      </c>
    </row>
    <row r="28" spans="1:9" x14ac:dyDescent="0.2">
      <c r="A28" s="11" t="s">
        <v>60</v>
      </c>
      <c r="B28" s="12">
        <v>1116</v>
      </c>
      <c r="C28" s="13">
        <v>11471290</v>
      </c>
      <c r="D28" s="13">
        <v>10278.93</v>
      </c>
      <c r="E28" s="13">
        <v>1675.07</v>
      </c>
      <c r="F28" s="13">
        <v>8603.8700000000008</v>
      </c>
      <c r="G28" s="14">
        <v>0.3</v>
      </c>
      <c r="H28" s="15">
        <v>-0.3</v>
      </c>
      <c r="I28" s="13">
        <v>9601916</v>
      </c>
    </row>
    <row r="29" spans="1:9" x14ac:dyDescent="0.2">
      <c r="A29" s="11" t="s">
        <v>61</v>
      </c>
      <c r="B29" s="12">
        <v>1452</v>
      </c>
      <c r="C29" s="13">
        <v>33390616</v>
      </c>
      <c r="D29" s="13">
        <v>22989.96</v>
      </c>
      <c r="E29" s="13">
        <v>16576.689999999999</v>
      </c>
      <c r="F29" s="13">
        <v>6413.26</v>
      </c>
      <c r="G29" s="14">
        <v>66.099999999999994</v>
      </c>
      <c r="H29" s="15">
        <v>-26</v>
      </c>
      <c r="I29" s="13">
        <v>9314626</v>
      </c>
    </row>
    <row r="30" spans="1:9" x14ac:dyDescent="0.2">
      <c r="A30" s="11" t="s">
        <v>62</v>
      </c>
      <c r="B30" s="12">
        <v>653</v>
      </c>
      <c r="C30" s="13">
        <v>10383765</v>
      </c>
      <c r="D30" s="13">
        <v>15901.63</v>
      </c>
      <c r="E30" s="13">
        <v>2954.3</v>
      </c>
      <c r="F30" s="13">
        <v>12947.33</v>
      </c>
      <c r="G30" s="14">
        <v>2.6</v>
      </c>
      <c r="H30" s="15">
        <v>-1.7</v>
      </c>
      <c r="I30" s="13">
        <v>8454609</v>
      </c>
    </row>
    <row r="31" spans="1:9" x14ac:dyDescent="0.2">
      <c r="A31" s="11" t="s">
        <v>63</v>
      </c>
      <c r="B31" s="12">
        <v>2483</v>
      </c>
      <c r="C31" s="13">
        <v>20884091</v>
      </c>
      <c r="D31" s="13">
        <v>8410.83</v>
      </c>
      <c r="E31" s="13">
        <v>5044.1000000000004</v>
      </c>
      <c r="F31" s="13">
        <v>3366.73</v>
      </c>
      <c r="G31" s="14">
        <v>96.1</v>
      </c>
      <c r="H31" s="22">
        <v>1.5</v>
      </c>
      <c r="I31" s="13">
        <v>8359600</v>
      </c>
    </row>
    <row r="32" spans="1:9" x14ac:dyDescent="0.2">
      <c r="A32" s="11" t="s">
        <v>64</v>
      </c>
      <c r="B32" s="12">
        <v>798</v>
      </c>
      <c r="C32" s="13">
        <v>10462801</v>
      </c>
      <c r="D32" s="13">
        <v>13111.28</v>
      </c>
      <c r="E32" s="13">
        <v>3247.56</v>
      </c>
      <c r="F32" s="13">
        <v>9863.7199999999993</v>
      </c>
      <c r="G32" s="14">
        <v>14.1</v>
      </c>
      <c r="H32" s="15">
        <v>-0.8</v>
      </c>
      <c r="I32" s="13">
        <v>7871246</v>
      </c>
    </row>
    <row r="33" spans="1:9" x14ac:dyDescent="0.2">
      <c r="A33" s="11" t="s">
        <v>65</v>
      </c>
      <c r="B33" s="12">
        <v>16497</v>
      </c>
      <c r="C33" s="13">
        <v>7979601</v>
      </c>
      <c r="D33" s="13">
        <v>483.69</v>
      </c>
      <c r="E33" s="13">
        <v>33.06</v>
      </c>
      <c r="F33" s="13">
        <v>450.64</v>
      </c>
      <c r="G33" s="14">
        <v>0.5</v>
      </c>
      <c r="H33" s="15">
        <v>-0.1</v>
      </c>
      <c r="I33" s="13">
        <v>7434269</v>
      </c>
    </row>
    <row r="34" spans="1:9" x14ac:dyDescent="0.2">
      <c r="A34" s="11" t="s">
        <v>66</v>
      </c>
      <c r="B34" s="12">
        <v>796</v>
      </c>
      <c r="C34" s="13">
        <v>11048344</v>
      </c>
      <c r="D34" s="13">
        <v>13878.09</v>
      </c>
      <c r="E34" s="13">
        <v>5150.38</v>
      </c>
      <c r="F34" s="13">
        <v>8727.7000000000007</v>
      </c>
      <c r="G34" s="14">
        <v>91.5</v>
      </c>
      <c r="H34" s="21"/>
      <c r="I34" s="13">
        <v>6948123</v>
      </c>
    </row>
    <row r="35" spans="1:9" x14ac:dyDescent="0.2">
      <c r="A35" s="11" t="s">
        <v>67</v>
      </c>
      <c r="B35" s="12">
        <v>489</v>
      </c>
      <c r="C35" s="13">
        <v>7040346</v>
      </c>
      <c r="D35" s="13">
        <v>14409.22</v>
      </c>
      <c r="E35" s="13">
        <v>1179.82</v>
      </c>
      <c r="F35" s="13">
        <v>13229.4</v>
      </c>
      <c r="G35" s="14">
        <v>1.9</v>
      </c>
      <c r="H35" s="15">
        <v>-1.6</v>
      </c>
      <c r="I35" s="13">
        <v>6463887</v>
      </c>
    </row>
    <row r="36" spans="1:9" x14ac:dyDescent="0.2">
      <c r="A36" s="11" t="s">
        <v>68</v>
      </c>
      <c r="B36" s="12">
        <v>2409</v>
      </c>
      <c r="C36" s="13">
        <v>9158358</v>
      </c>
      <c r="D36" s="13">
        <v>3801.88</v>
      </c>
      <c r="E36" s="13">
        <v>1140.95</v>
      </c>
      <c r="F36" s="13">
        <v>2660.93</v>
      </c>
      <c r="G36" s="14">
        <v>11.1</v>
      </c>
      <c r="H36" s="15">
        <v>-2.4</v>
      </c>
      <c r="I36" s="13">
        <v>6409918</v>
      </c>
    </row>
    <row r="37" spans="1:9" x14ac:dyDescent="0.2">
      <c r="A37" s="11" t="s">
        <v>69</v>
      </c>
      <c r="B37" s="12">
        <v>5396</v>
      </c>
      <c r="C37" s="13">
        <v>5841322</v>
      </c>
      <c r="D37" s="13">
        <v>1082.6099999999999</v>
      </c>
      <c r="E37" s="13">
        <v>20.350000000000001</v>
      </c>
      <c r="F37" s="13">
        <v>1062.26</v>
      </c>
      <c r="G37" s="14">
        <v>0.1</v>
      </c>
      <c r="H37" s="15">
        <v>-0.1</v>
      </c>
      <c r="I37" s="13">
        <v>5731520</v>
      </c>
    </row>
    <row r="38" spans="1:9" x14ac:dyDescent="0.2">
      <c r="A38" s="11" t="s">
        <v>70</v>
      </c>
      <c r="B38" s="12">
        <v>2751</v>
      </c>
      <c r="C38" s="13">
        <v>49047068</v>
      </c>
      <c r="D38" s="13">
        <v>17829.46</v>
      </c>
      <c r="E38" s="13">
        <v>15787.26</v>
      </c>
      <c r="F38" s="13">
        <v>2042.2</v>
      </c>
      <c r="G38" s="14">
        <v>47</v>
      </c>
      <c r="H38" s="15">
        <v>-21.6</v>
      </c>
      <c r="I38" s="13">
        <v>5617883</v>
      </c>
    </row>
    <row r="39" spans="1:9" x14ac:dyDescent="0.2">
      <c r="A39" s="11" t="s">
        <v>71</v>
      </c>
      <c r="B39" s="12">
        <v>17818</v>
      </c>
      <c r="C39" s="13">
        <v>4602378</v>
      </c>
      <c r="D39" s="13">
        <v>258.3</v>
      </c>
      <c r="E39" s="13">
        <v>5.45</v>
      </c>
      <c r="F39" s="13">
        <v>252.85</v>
      </c>
      <c r="G39" s="14">
        <v>0</v>
      </c>
      <c r="H39" s="15">
        <v>0</v>
      </c>
      <c r="I39" s="13">
        <v>4505200</v>
      </c>
    </row>
    <row r="40" spans="1:9" x14ac:dyDescent="0.2">
      <c r="A40" s="11" t="s">
        <v>72</v>
      </c>
      <c r="B40" s="12">
        <v>211</v>
      </c>
      <c r="C40" s="13">
        <v>6970848</v>
      </c>
      <c r="D40" s="13">
        <v>33037.19</v>
      </c>
      <c r="E40" s="13">
        <v>12901.25</v>
      </c>
      <c r="F40" s="13">
        <v>20135.939999999999</v>
      </c>
      <c r="G40" s="14">
        <v>18.899999999999999</v>
      </c>
      <c r="H40" s="15">
        <v>-3.1</v>
      </c>
      <c r="I40" s="13">
        <v>4248684</v>
      </c>
    </row>
    <row r="41" spans="1:9" x14ac:dyDescent="0.2">
      <c r="A41" s="11" t="s">
        <v>73</v>
      </c>
      <c r="B41" s="12">
        <v>24691</v>
      </c>
      <c r="C41" s="13">
        <v>6598589</v>
      </c>
      <c r="D41" s="13">
        <v>267.25</v>
      </c>
      <c r="E41" s="13">
        <v>101.82</v>
      </c>
      <c r="F41" s="13">
        <v>165.43</v>
      </c>
      <c r="G41" s="14">
        <v>8.9</v>
      </c>
      <c r="H41" s="15">
        <v>-7.4</v>
      </c>
      <c r="I41" s="13">
        <v>4084609</v>
      </c>
    </row>
    <row r="42" spans="1:9" x14ac:dyDescent="0.2">
      <c r="A42" s="11" t="s">
        <v>74</v>
      </c>
      <c r="B42" s="12">
        <v>865</v>
      </c>
      <c r="C42" s="13">
        <v>3682627</v>
      </c>
      <c r="D42" s="13">
        <v>4257.8599999999997</v>
      </c>
      <c r="E42" s="13">
        <v>12.95</v>
      </c>
      <c r="F42" s="13">
        <v>4244.91</v>
      </c>
      <c r="G42" s="14">
        <v>0</v>
      </c>
      <c r="H42" s="15">
        <v>0</v>
      </c>
      <c r="I42" s="13">
        <v>3671426</v>
      </c>
    </row>
    <row r="43" spans="1:9" x14ac:dyDescent="0.2">
      <c r="A43" s="11" t="s">
        <v>75</v>
      </c>
      <c r="B43" s="12">
        <v>861</v>
      </c>
      <c r="C43" s="13">
        <v>3115899</v>
      </c>
      <c r="D43" s="13">
        <v>3618.51</v>
      </c>
      <c r="E43" s="13">
        <v>57.15</v>
      </c>
      <c r="F43" s="13">
        <v>3561.36</v>
      </c>
      <c r="G43" s="14">
        <v>0.3</v>
      </c>
      <c r="H43" s="15">
        <v>0</v>
      </c>
      <c r="I43" s="13">
        <v>3066687</v>
      </c>
    </row>
    <row r="44" spans="1:9" x14ac:dyDescent="0.2">
      <c r="A44" s="11" t="s">
        <v>76</v>
      </c>
      <c r="B44" s="12">
        <v>5672</v>
      </c>
      <c r="C44" s="13">
        <v>3689736</v>
      </c>
      <c r="D44" s="13">
        <v>650.55999999999995</v>
      </c>
      <c r="E44" s="13">
        <v>125.04</v>
      </c>
      <c r="F44" s="13">
        <v>525.52</v>
      </c>
      <c r="G44" s="14">
        <v>1.4</v>
      </c>
      <c r="H44" s="15">
        <v>-2</v>
      </c>
      <c r="I44" s="13">
        <v>2980562</v>
      </c>
    </row>
    <row r="45" spans="1:9" x14ac:dyDescent="0.2">
      <c r="A45" s="11" t="s">
        <v>77</v>
      </c>
      <c r="B45" s="12">
        <v>6109</v>
      </c>
      <c r="C45" s="13">
        <v>2859995</v>
      </c>
      <c r="D45" s="13">
        <v>468.14</v>
      </c>
      <c r="E45" s="13">
        <v>4.1900000000000004</v>
      </c>
      <c r="F45" s="13">
        <v>463.94</v>
      </c>
      <c r="G45" s="14">
        <v>0</v>
      </c>
      <c r="H45" s="15">
        <v>0</v>
      </c>
      <c r="I45" s="13">
        <v>2834371</v>
      </c>
    </row>
    <row r="46" spans="1:9" x14ac:dyDescent="0.2">
      <c r="A46" s="11" t="s">
        <v>78</v>
      </c>
      <c r="B46" s="12">
        <v>219</v>
      </c>
      <c r="C46" s="13">
        <v>3127585</v>
      </c>
      <c r="D46" s="13">
        <v>14281.21</v>
      </c>
      <c r="E46" s="13">
        <v>1482.43</v>
      </c>
      <c r="F46" s="13">
        <v>12798.78</v>
      </c>
      <c r="G46" s="14">
        <v>2.2000000000000002</v>
      </c>
      <c r="H46" s="15">
        <v>-0.4</v>
      </c>
      <c r="I46" s="13">
        <v>2802933</v>
      </c>
    </row>
    <row r="47" spans="1:9" x14ac:dyDescent="0.2">
      <c r="A47" s="11" t="s">
        <v>79</v>
      </c>
      <c r="B47" s="12">
        <v>7402</v>
      </c>
      <c r="C47" s="13">
        <v>2740484</v>
      </c>
      <c r="D47" s="13">
        <v>370.24</v>
      </c>
      <c r="E47" s="13">
        <v>7.81</v>
      </c>
      <c r="F47" s="13">
        <v>362.42</v>
      </c>
      <c r="G47" s="14">
        <v>0.1</v>
      </c>
      <c r="H47" s="15">
        <v>0</v>
      </c>
      <c r="I47" s="13">
        <v>2682654</v>
      </c>
    </row>
    <row r="48" spans="1:9" x14ac:dyDescent="0.2">
      <c r="A48" s="11" t="s">
        <v>80</v>
      </c>
      <c r="B48" s="12">
        <v>1337</v>
      </c>
      <c r="C48" s="13">
        <v>2079258</v>
      </c>
      <c r="D48" s="13">
        <v>1555.63</v>
      </c>
      <c r="E48" s="13">
        <v>18.55</v>
      </c>
      <c r="F48" s="13">
        <v>1537.08</v>
      </c>
      <c r="G48" s="14">
        <v>0.1</v>
      </c>
      <c r="H48" s="15">
        <v>0</v>
      </c>
      <c r="I48" s="13">
        <v>2054465</v>
      </c>
    </row>
    <row r="49" spans="1:9" x14ac:dyDescent="0.2">
      <c r="A49" s="11" t="s">
        <v>81</v>
      </c>
      <c r="B49" s="12">
        <v>2965</v>
      </c>
      <c r="C49" s="13">
        <v>2700551</v>
      </c>
      <c r="D49" s="13">
        <v>910.9</v>
      </c>
      <c r="E49" s="13">
        <v>222.8</v>
      </c>
      <c r="F49" s="13">
        <v>688.1</v>
      </c>
      <c r="G49" s="14">
        <v>6.2</v>
      </c>
      <c r="H49" s="15">
        <v>-1.4</v>
      </c>
      <c r="I49" s="13">
        <v>2040002</v>
      </c>
    </row>
    <row r="50" spans="1:9" x14ac:dyDescent="0.2">
      <c r="A50" s="11" t="s">
        <v>82</v>
      </c>
      <c r="B50" s="12">
        <v>10178</v>
      </c>
      <c r="C50" s="13">
        <v>2814289</v>
      </c>
      <c r="D50" s="13">
        <v>276.51</v>
      </c>
      <c r="E50" s="13">
        <v>88.67</v>
      </c>
      <c r="F50" s="13">
        <v>187.84</v>
      </c>
      <c r="G50" s="14">
        <v>1.5</v>
      </c>
      <c r="H50" s="15">
        <v>-0.7</v>
      </c>
      <c r="I50" s="13">
        <v>1911833</v>
      </c>
    </row>
    <row r="51" spans="1:9" x14ac:dyDescent="0.2">
      <c r="A51" s="11" t="s">
        <v>83</v>
      </c>
      <c r="B51" s="12">
        <v>2060</v>
      </c>
      <c r="C51" s="13">
        <v>1743230</v>
      </c>
      <c r="D51" s="13">
        <v>846.31</v>
      </c>
      <c r="E51" s="13">
        <v>17.13</v>
      </c>
      <c r="F51" s="13">
        <v>829.18</v>
      </c>
      <c r="G51" s="14">
        <v>0.3</v>
      </c>
      <c r="H51" s="15">
        <v>-0.3</v>
      </c>
      <c r="I51" s="13">
        <v>1707953</v>
      </c>
    </row>
    <row r="52" spans="1:9" x14ac:dyDescent="0.2">
      <c r="A52" s="11" t="s">
        <v>84</v>
      </c>
      <c r="B52" s="12">
        <v>2416</v>
      </c>
      <c r="C52" s="13">
        <v>1567537</v>
      </c>
      <c r="D52" s="13">
        <v>648.71</v>
      </c>
      <c r="E52" s="13">
        <v>17.66</v>
      </c>
      <c r="F52" s="13">
        <v>631.04999999999995</v>
      </c>
      <c r="G52" s="14">
        <v>0</v>
      </c>
      <c r="H52" s="15">
        <v>0</v>
      </c>
      <c r="I52" s="13">
        <v>1524862</v>
      </c>
    </row>
    <row r="53" spans="1:9" x14ac:dyDescent="0.2">
      <c r="A53" s="11" t="s">
        <v>85</v>
      </c>
      <c r="B53" s="12">
        <v>58</v>
      </c>
      <c r="C53" s="13">
        <v>1584653</v>
      </c>
      <c r="D53" s="13">
        <v>27321.599999999999</v>
      </c>
      <c r="E53" s="13">
        <v>1465.06</v>
      </c>
      <c r="F53" s="13">
        <v>25856.54</v>
      </c>
      <c r="G53" s="14">
        <v>0.4</v>
      </c>
      <c r="H53" s="15">
        <v>-0.2</v>
      </c>
      <c r="I53" s="13">
        <v>1499679</v>
      </c>
    </row>
    <row r="54" spans="1:9" x14ac:dyDescent="0.2">
      <c r="A54" s="11" t="s">
        <v>86</v>
      </c>
      <c r="B54" s="12">
        <v>83</v>
      </c>
      <c r="C54" s="13">
        <v>1700570</v>
      </c>
      <c r="D54" s="13">
        <v>20513.52</v>
      </c>
      <c r="E54" s="13">
        <v>6092.81</v>
      </c>
      <c r="F54" s="13">
        <v>14420.71</v>
      </c>
      <c r="G54" s="14">
        <v>1.7</v>
      </c>
      <c r="H54" s="15">
        <v>-0.7</v>
      </c>
      <c r="I54" s="13">
        <v>1195477</v>
      </c>
    </row>
    <row r="55" spans="1:9" x14ac:dyDescent="0.2">
      <c r="A55" s="11" t="s">
        <v>87</v>
      </c>
      <c r="B55" s="12">
        <v>993</v>
      </c>
      <c r="C55" s="13">
        <v>1075279</v>
      </c>
      <c r="D55" s="13">
        <v>1082.8599999999999</v>
      </c>
      <c r="E55" s="13">
        <v>13.64</v>
      </c>
      <c r="F55" s="13">
        <v>1069.22</v>
      </c>
      <c r="G55" s="14">
        <v>0.1</v>
      </c>
      <c r="H55" s="15">
        <v>0</v>
      </c>
      <c r="I55" s="13">
        <v>1061734</v>
      </c>
    </row>
    <row r="56" spans="1:9" x14ac:dyDescent="0.2">
      <c r="A56" s="11" t="s">
        <v>88</v>
      </c>
      <c r="B56" s="12">
        <v>3832</v>
      </c>
      <c r="C56" s="13">
        <v>938223</v>
      </c>
      <c r="D56" s="13">
        <v>244.83</v>
      </c>
      <c r="E56" s="13">
        <v>6.3</v>
      </c>
      <c r="F56" s="13">
        <v>238.53</v>
      </c>
      <c r="G56" s="14">
        <v>0</v>
      </c>
      <c r="H56" s="15">
        <v>0</v>
      </c>
      <c r="I56" s="13">
        <v>914067</v>
      </c>
    </row>
    <row r="57" spans="1:9" x14ac:dyDescent="0.2">
      <c r="A57" s="11" t="s">
        <v>89</v>
      </c>
      <c r="B57" s="12">
        <v>738</v>
      </c>
      <c r="C57" s="13">
        <v>975277</v>
      </c>
      <c r="D57" s="13">
        <v>1322.23</v>
      </c>
      <c r="E57" s="13">
        <v>111.77</v>
      </c>
      <c r="F57" s="13">
        <v>1210.46</v>
      </c>
      <c r="G57" s="14">
        <v>0.5</v>
      </c>
      <c r="H57" s="15">
        <v>-0.2</v>
      </c>
      <c r="I57" s="13">
        <v>892836</v>
      </c>
    </row>
    <row r="58" spans="1:9" x14ac:dyDescent="0.2">
      <c r="A58" s="11" t="s">
        <v>90</v>
      </c>
      <c r="B58" s="12">
        <v>1034</v>
      </c>
      <c r="C58" s="13">
        <v>864455</v>
      </c>
      <c r="D58" s="13">
        <v>835.79</v>
      </c>
      <c r="E58" s="13">
        <v>2.82</v>
      </c>
      <c r="F58" s="13">
        <v>832.96</v>
      </c>
      <c r="G58" s="14">
        <v>0</v>
      </c>
      <c r="H58" s="15">
        <v>0</v>
      </c>
      <c r="I58" s="13">
        <v>861533</v>
      </c>
    </row>
    <row r="59" spans="1:9" x14ac:dyDescent="0.2">
      <c r="A59" s="11" t="s">
        <v>91</v>
      </c>
      <c r="B59" s="12">
        <v>1203</v>
      </c>
      <c r="C59" s="13">
        <v>2240994</v>
      </c>
      <c r="D59" s="13">
        <v>1862.84</v>
      </c>
      <c r="E59" s="13">
        <v>1180.42</v>
      </c>
      <c r="F59" s="13">
        <v>682.42</v>
      </c>
      <c r="G59" s="14">
        <v>9.6999999999999993</v>
      </c>
      <c r="H59" s="15">
        <v>-10.3</v>
      </c>
      <c r="I59" s="13">
        <v>820952</v>
      </c>
    </row>
    <row r="60" spans="1:9" x14ac:dyDescent="0.2">
      <c r="A60" s="11" t="s">
        <v>92</v>
      </c>
      <c r="B60" s="12">
        <v>718</v>
      </c>
      <c r="C60" s="13">
        <v>883142</v>
      </c>
      <c r="D60" s="13">
        <v>1229.49</v>
      </c>
      <c r="E60" s="13">
        <v>88.89</v>
      </c>
      <c r="F60" s="13">
        <v>1140.5999999999999</v>
      </c>
      <c r="G60" s="14">
        <v>0.8</v>
      </c>
      <c r="H60" s="15">
        <v>-0.4</v>
      </c>
      <c r="I60" s="13">
        <v>819292</v>
      </c>
    </row>
    <row r="61" spans="1:9" x14ac:dyDescent="0.2">
      <c r="A61" s="11" t="s">
        <v>93</v>
      </c>
      <c r="B61" s="12">
        <v>655</v>
      </c>
      <c r="C61" s="13">
        <v>801452</v>
      </c>
      <c r="D61" s="13">
        <v>1223.4000000000001</v>
      </c>
      <c r="E61" s="13">
        <v>22.92</v>
      </c>
      <c r="F61" s="13">
        <v>1200.48</v>
      </c>
      <c r="G61" s="14">
        <v>0.3</v>
      </c>
      <c r="H61" s="15">
        <v>-0.4</v>
      </c>
      <c r="I61" s="13">
        <v>786434</v>
      </c>
    </row>
    <row r="62" spans="1:9" x14ac:dyDescent="0.2">
      <c r="A62" s="11" t="s">
        <v>94</v>
      </c>
      <c r="B62" s="12">
        <v>1974</v>
      </c>
      <c r="C62" s="13">
        <v>724769</v>
      </c>
      <c r="D62" s="13">
        <v>367.16</v>
      </c>
      <c r="E62" s="13">
        <v>9.52</v>
      </c>
      <c r="F62" s="13">
        <v>357.63</v>
      </c>
      <c r="G62" s="14">
        <v>0</v>
      </c>
      <c r="H62" s="15">
        <v>0</v>
      </c>
      <c r="I62" s="13">
        <v>705971</v>
      </c>
    </row>
    <row r="63" spans="1:9" x14ac:dyDescent="0.2">
      <c r="A63" s="11" t="s">
        <v>95</v>
      </c>
      <c r="B63" s="12">
        <v>19508</v>
      </c>
      <c r="C63" s="13">
        <v>821449</v>
      </c>
      <c r="D63" s="13">
        <v>42.11</v>
      </c>
      <c r="E63" s="13">
        <v>5.93</v>
      </c>
      <c r="F63" s="13">
        <v>36.18</v>
      </c>
      <c r="G63" s="14">
        <v>0</v>
      </c>
      <c r="H63" s="15">
        <v>0</v>
      </c>
      <c r="I63" s="13">
        <v>705805</v>
      </c>
    </row>
    <row r="64" spans="1:9" x14ac:dyDescent="0.2">
      <c r="A64" s="11" t="s">
        <v>96</v>
      </c>
      <c r="B64" s="12">
        <v>754</v>
      </c>
      <c r="C64" s="13">
        <v>695960</v>
      </c>
      <c r="D64" s="13">
        <v>923.02</v>
      </c>
      <c r="E64" s="13">
        <v>10.89</v>
      </c>
      <c r="F64" s="13">
        <v>912.13</v>
      </c>
      <c r="G64" s="14">
        <v>0.3</v>
      </c>
      <c r="H64" s="15">
        <v>0</v>
      </c>
      <c r="I64" s="13">
        <v>687748</v>
      </c>
    </row>
    <row r="65" spans="1:9" x14ac:dyDescent="0.2">
      <c r="A65" s="11" t="s">
        <v>97</v>
      </c>
      <c r="B65" s="12">
        <v>116</v>
      </c>
      <c r="C65" s="13">
        <v>1542735</v>
      </c>
      <c r="D65" s="13">
        <v>13299.44</v>
      </c>
      <c r="E65" s="13">
        <v>7450.04</v>
      </c>
      <c r="F65" s="13">
        <v>5849.4</v>
      </c>
      <c r="G65" s="14">
        <v>6.5</v>
      </c>
      <c r="H65" s="15">
        <v>-11.8</v>
      </c>
      <c r="I65" s="13">
        <v>678530</v>
      </c>
    </row>
    <row r="66" spans="1:9" x14ac:dyDescent="0.2">
      <c r="A66" s="11" t="s">
        <v>98</v>
      </c>
      <c r="B66" s="12">
        <v>95</v>
      </c>
      <c r="C66" s="13">
        <v>1149857</v>
      </c>
      <c r="D66" s="13">
        <v>12078.33</v>
      </c>
      <c r="E66" s="13">
        <v>4966.6099999999997</v>
      </c>
      <c r="F66" s="13">
        <v>7111.72</v>
      </c>
      <c r="G66" s="14">
        <v>3.2</v>
      </c>
      <c r="H66" s="15">
        <v>-3.4</v>
      </c>
      <c r="I66" s="13">
        <v>677036</v>
      </c>
    </row>
    <row r="67" spans="1:9" x14ac:dyDescent="0.2">
      <c r="A67" s="11" t="s">
        <v>99</v>
      </c>
      <c r="B67" s="12">
        <v>390</v>
      </c>
      <c r="C67" s="13">
        <v>626049</v>
      </c>
      <c r="D67" s="13">
        <v>1606.08</v>
      </c>
      <c r="E67" s="13">
        <v>8.11</v>
      </c>
      <c r="F67" s="13">
        <v>1597.97</v>
      </c>
      <c r="G67" s="14">
        <v>0</v>
      </c>
      <c r="H67" s="15">
        <v>0</v>
      </c>
      <c r="I67" s="13">
        <v>622887</v>
      </c>
    </row>
    <row r="68" spans="1:9" x14ac:dyDescent="0.2">
      <c r="A68" s="11" t="s">
        <v>100</v>
      </c>
      <c r="B68" s="12">
        <v>2158</v>
      </c>
      <c r="C68" s="13">
        <v>677903</v>
      </c>
      <c r="D68" s="13">
        <v>314.08999999999997</v>
      </c>
      <c r="E68" s="13">
        <v>55.96</v>
      </c>
      <c r="F68" s="13">
        <v>258.13</v>
      </c>
      <c r="G68" s="14">
        <v>0.8</v>
      </c>
      <c r="H68" s="15">
        <v>-0.6</v>
      </c>
      <c r="I68" s="13">
        <v>557119</v>
      </c>
    </row>
    <row r="69" spans="1:9" x14ac:dyDescent="0.2">
      <c r="A69" s="11" t="s">
        <v>101</v>
      </c>
      <c r="B69" s="12">
        <v>150</v>
      </c>
      <c r="C69" s="13">
        <v>584549</v>
      </c>
      <c r="D69" s="13">
        <v>3910.03</v>
      </c>
      <c r="E69" s="13">
        <v>247.02</v>
      </c>
      <c r="F69" s="13">
        <v>3663.01</v>
      </c>
      <c r="G69" s="14">
        <v>0.3</v>
      </c>
      <c r="H69" s="15">
        <v>-0.3</v>
      </c>
      <c r="I69" s="13">
        <v>547620</v>
      </c>
    </row>
    <row r="70" spans="1:9" x14ac:dyDescent="0.2">
      <c r="A70" s="11" t="s">
        <v>102</v>
      </c>
      <c r="B70" s="12">
        <v>397</v>
      </c>
      <c r="C70" s="13">
        <v>565964</v>
      </c>
      <c r="D70" s="13">
        <v>1424.88</v>
      </c>
      <c r="E70" s="13">
        <v>70.39</v>
      </c>
      <c r="F70" s="13">
        <v>1354.49</v>
      </c>
      <c r="G70" s="14">
        <v>0.1</v>
      </c>
      <c r="H70" s="15">
        <v>-0.1</v>
      </c>
      <c r="I70" s="13">
        <v>538003</v>
      </c>
    </row>
    <row r="71" spans="1:9" x14ac:dyDescent="0.2">
      <c r="A71" s="11" t="s">
        <v>103</v>
      </c>
      <c r="B71" s="12">
        <v>954</v>
      </c>
      <c r="C71" s="13">
        <v>1115967</v>
      </c>
      <c r="D71" s="13">
        <v>1169.53</v>
      </c>
      <c r="E71" s="13">
        <v>678.46</v>
      </c>
      <c r="F71" s="13">
        <v>491.07</v>
      </c>
      <c r="G71" s="14">
        <v>2.6</v>
      </c>
      <c r="H71" s="22">
        <v>0.2</v>
      </c>
      <c r="I71" s="13">
        <v>468582</v>
      </c>
    </row>
    <row r="72" spans="1:9" x14ac:dyDescent="0.2">
      <c r="A72" s="11" t="s">
        <v>104</v>
      </c>
      <c r="B72" s="12">
        <v>2182</v>
      </c>
      <c r="C72" s="13">
        <v>690576</v>
      </c>
      <c r="D72" s="13">
        <v>316.52</v>
      </c>
      <c r="E72" s="13">
        <v>120.82</v>
      </c>
      <c r="F72" s="13">
        <v>195.69</v>
      </c>
      <c r="G72" s="14">
        <v>3.5</v>
      </c>
      <c r="H72" s="15">
        <v>-4.7</v>
      </c>
      <c r="I72" s="13">
        <v>426965</v>
      </c>
    </row>
    <row r="73" spans="1:9" x14ac:dyDescent="0.2">
      <c r="A73" s="11" t="s">
        <v>105</v>
      </c>
      <c r="B73" s="12">
        <v>247</v>
      </c>
      <c r="C73" s="13">
        <v>452894</v>
      </c>
      <c r="D73" s="13">
        <v>1833.58</v>
      </c>
      <c r="E73" s="13">
        <v>193.35</v>
      </c>
      <c r="F73" s="13">
        <v>1640.23</v>
      </c>
      <c r="G73" s="14">
        <v>10.7</v>
      </c>
      <c r="H73" s="15">
        <v>-3.6</v>
      </c>
      <c r="I73" s="13">
        <v>405136</v>
      </c>
    </row>
    <row r="74" spans="1:9" x14ac:dyDescent="0.2">
      <c r="A74" s="11" t="s">
        <v>106</v>
      </c>
      <c r="B74" s="12">
        <v>264</v>
      </c>
      <c r="C74" s="13">
        <v>376492</v>
      </c>
      <c r="D74" s="13">
        <v>1423.95</v>
      </c>
      <c r="E74" s="13">
        <v>7.31</v>
      </c>
      <c r="F74" s="13">
        <v>1416.63</v>
      </c>
      <c r="G74" s="14">
        <v>0</v>
      </c>
      <c r="H74" s="15">
        <v>0</v>
      </c>
      <c r="I74" s="13">
        <v>374558</v>
      </c>
    </row>
    <row r="75" spans="1:9" x14ac:dyDescent="0.2">
      <c r="A75" s="11" t="s">
        <v>107</v>
      </c>
      <c r="B75" s="12">
        <v>2376</v>
      </c>
      <c r="C75" s="13">
        <v>374227</v>
      </c>
      <c r="D75" s="13">
        <v>157.52000000000001</v>
      </c>
      <c r="E75" s="13">
        <v>3.94</v>
      </c>
      <c r="F75" s="13">
        <v>153.58000000000001</v>
      </c>
      <c r="G75" s="14">
        <v>0</v>
      </c>
      <c r="H75" s="15">
        <v>0</v>
      </c>
      <c r="I75" s="13">
        <v>364866</v>
      </c>
    </row>
    <row r="76" spans="1:9" x14ac:dyDescent="0.2">
      <c r="A76" s="11" t="s">
        <v>108</v>
      </c>
      <c r="B76" s="12">
        <v>1019</v>
      </c>
      <c r="C76" s="13">
        <v>445481</v>
      </c>
      <c r="D76" s="13">
        <v>437.35</v>
      </c>
      <c r="E76" s="13">
        <v>87.86</v>
      </c>
      <c r="F76" s="13">
        <v>349.49</v>
      </c>
      <c r="G76" s="14">
        <v>2.7</v>
      </c>
      <c r="H76" s="15">
        <v>-1.1000000000000001</v>
      </c>
      <c r="I76" s="13">
        <v>355988</v>
      </c>
    </row>
    <row r="77" spans="1:9" x14ac:dyDescent="0.2">
      <c r="A77" s="11" t="s">
        <v>109</v>
      </c>
      <c r="B77" s="12">
        <v>100</v>
      </c>
      <c r="C77" s="13">
        <v>700967</v>
      </c>
      <c r="D77" s="13">
        <v>7009.67</v>
      </c>
      <c r="E77" s="13">
        <v>3495.69</v>
      </c>
      <c r="F77" s="13">
        <v>3513.98</v>
      </c>
      <c r="G77" s="14">
        <v>25.2</v>
      </c>
      <c r="H77" s="21"/>
      <c r="I77" s="13">
        <v>351398</v>
      </c>
    </row>
    <row r="78" spans="1:9" x14ac:dyDescent="0.2">
      <c r="A78" s="11" t="s">
        <v>110</v>
      </c>
      <c r="B78" s="12">
        <v>782</v>
      </c>
      <c r="C78" s="13">
        <v>1108177</v>
      </c>
      <c r="D78" s="13">
        <v>1417.11</v>
      </c>
      <c r="E78" s="13">
        <v>976.85</v>
      </c>
      <c r="F78" s="13">
        <v>440.26</v>
      </c>
      <c r="G78" s="14">
        <v>4.5</v>
      </c>
      <c r="H78" s="15">
        <v>-4.3</v>
      </c>
      <c r="I78" s="13">
        <v>344281</v>
      </c>
    </row>
    <row r="79" spans="1:9" x14ac:dyDescent="0.2">
      <c r="A79" s="11" t="s">
        <v>111</v>
      </c>
      <c r="B79" s="12">
        <v>2344</v>
      </c>
      <c r="C79" s="13">
        <v>381104</v>
      </c>
      <c r="D79" s="13">
        <v>162.61000000000001</v>
      </c>
      <c r="E79" s="13">
        <v>31.07</v>
      </c>
      <c r="F79" s="13">
        <v>131.54</v>
      </c>
      <c r="G79" s="14">
        <v>0</v>
      </c>
      <c r="H79" s="15">
        <v>0</v>
      </c>
      <c r="I79" s="13">
        <v>308292</v>
      </c>
    </row>
    <row r="80" spans="1:9" x14ac:dyDescent="0.2">
      <c r="A80" s="11" t="s">
        <v>112</v>
      </c>
      <c r="B80" s="12">
        <v>287</v>
      </c>
      <c r="C80" s="13">
        <v>303789</v>
      </c>
      <c r="D80" s="13">
        <v>1057.76</v>
      </c>
      <c r="E80" s="13">
        <v>93.67</v>
      </c>
      <c r="F80" s="13">
        <v>964.09</v>
      </c>
      <c r="G80" s="14">
        <v>0.1</v>
      </c>
      <c r="H80" s="15">
        <v>0</v>
      </c>
      <c r="I80" s="13">
        <v>276886</v>
      </c>
    </row>
    <row r="81" spans="1:9" x14ac:dyDescent="0.2">
      <c r="A81" s="11" t="s">
        <v>113</v>
      </c>
      <c r="B81" s="12">
        <v>23</v>
      </c>
      <c r="C81" s="13">
        <v>333817</v>
      </c>
      <c r="D81" s="13">
        <v>14513.8</v>
      </c>
      <c r="E81" s="13">
        <v>3975.58</v>
      </c>
      <c r="F81" s="13">
        <v>10538.23</v>
      </c>
      <c r="G81" s="14">
        <v>3.5</v>
      </c>
      <c r="H81" s="22">
        <v>0.5</v>
      </c>
      <c r="I81" s="13">
        <v>242379</v>
      </c>
    </row>
    <row r="82" spans="1:9" x14ac:dyDescent="0.2">
      <c r="A82" s="11" t="s">
        <v>114</v>
      </c>
      <c r="B82" s="12">
        <v>1654</v>
      </c>
      <c r="C82" s="13">
        <v>263282</v>
      </c>
      <c r="D82" s="13">
        <v>159.13999999999999</v>
      </c>
      <c r="E82" s="13">
        <v>12.77</v>
      </c>
      <c r="F82" s="13">
        <v>146.37</v>
      </c>
      <c r="G82" s="14">
        <v>0.2</v>
      </c>
      <c r="H82" s="15">
        <v>0</v>
      </c>
      <c r="I82" s="13">
        <v>242150</v>
      </c>
    </row>
    <row r="83" spans="1:9" x14ac:dyDescent="0.2">
      <c r="A83" s="11" t="s">
        <v>115</v>
      </c>
      <c r="B83" s="12">
        <v>216</v>
      </c>
      <c r="C83" s="13">
        <v>239305</v>
      </c>
      <c r="D83" s="13">
        <v>1107.8900000000001</v>
      </c>
      <c r="E83" s="13">
        <v>72.11</v>
      </c>
      <c r="F83" s="13">
        <v>1035.78</v>
      </c>
      <c r="G83" s="14">
        <v>0.1</v>
      </c>
      <c r="H83" s="15">
        <v>0</v>
      </c>
      <c r="I83" s="13">
        <v>223729</v>
      </c>
    </row>
    <row r="84" spans="1:9" x14ac:dyDescent="0.2">
      <c r="A84" s="11" t="s">
        <v>116</v>
      </c>
      <c r="B84" s="12">
        <v>1104</v>
      </c>
      <c r="C84" s="13">
        <v>314327</v>
      </c>
      <c r="D84" s="13">
        <v>284.72000000000003</v>
      </c>
      <c r="E84" s="13">
        <v>89.02</v>
      </c>
      <c r="F84" s="13">
        <v>195.69</v>
      </c>
      <c r="G84" s="14">
        <v>0.3</v>
      </c>
      <c r="H84" s="15">
        <v>-1.7</v>
      </c>
      <c r="I84" s="13">
        <v>216044</v>
      </c>
    </row>
    <row r="85" spans="1:9" x14ac:dyDescent="0.2">
      <c r="A85" s="11" t="s">
        <v>117</v>
      </c>
      <c r="B85" s="12">
        <v>114</v>
      </c>
      <c r="C85" s="13">
        <v>230132</v>
      </c>
      <c r="D85" s="13">
        <v>2011.64</v>
      </c>
      <c r="E85" s="13">
        <v>157.30000000000001</v>
      </c>
      <c r="F85" s="13">
        <v>1854.35</v>
      </c>
      <c r="G85" s="14">
        <v>2</v>
      </c>
      <c r="H85" s="22">
        <v>0.6</v>
      </c>
      <c r="I85" s="13">
        <v>212137</v>
      </c>
    </row>
    <row r="86" spans="1:9" x14ac:dyDescent="0.2">
      <c r="A86" s="11" t="s">
        <v>118</v>
      </c>
      <c r="B86" s="12">
        <v>143</v>
      </c>
      <c r="C86" s="13">
        <v>201673</v>
      </c>
      <c r="D86" s="13">
        <v>1408.33</v>
      </c>
      <c r="E86" s="13">
        <v>28.63</v>
      </c>
      <c r="F86" s="13">
        <v>1379.69</v>
      </c>
      <c r="G86" s="14">
        <v>0</v>
      </c>
      <c r="H86" s="15">
        <v>0</v>
      </c>
      <c r="I86" s="13">
        <v>197572</v>
      </c>
    </row>
    <row r="87" spans="1:9" x14ac:dyDescent="0.2">
      <c r="A87" s="11" t="s">
        <v>119</v>
      </c>
      <c r="B87" s="12">
        <v>709</v>
      </c>
      <c r="C87" s="13">
        <v>219961</v>
      </c>
      <c r="D87" s="13">
        <v>310.33</v>
      </c>
      <c r="E87" s="13">
        <v>36</v>
      </c>
      <c r="F87" s="13">
        <v>274.33</v>
      </c>
      <c r="G87" s="14">
        <v>0.1</v>
      </c>
      <c r="H87" s="15">
        <v>0</v>
      </c>
      <c r="I87" s="13">
        <v>194447</v>
      </c>
    </row>
    <row r="88" spans="1:9" x14ac:dyDescent="0.2">
      <c r="A88" s="11" t="s">
        <v>120</v>
      </c>
      <c r="B88" s="12">
        <v>153</v>
      </c>
      <c r="C88" s="13">
        <v>185826</v>
      </c>
      <c r="D88" s="13">
        <v>1216.1400000000001</v>
      </c>
      <c r="E88" s="13">
        <v>10.06</v>
      </c>
      <c r="F88" s="13">
        <v>1206.07</v>
      </c>
      <c r="G88" s="14">
        <v>0</v>
      </c>
      <c r="H88" s="15">
        <v>0</v>
      </c>
      <c r="I88" s="13">
        <v>184288</v>
      </c>
    </row>
    <row r="89" spans="1:9" x14ac:dyDescent="0.2">
      <c r="A89" s="11" t="s">
        <v>121</v>
      </c>
      <c r="B89" s="12">
        <v>307</v>
      </c>
      <c r="C89" s="13">
        <v>182239</v>
      </c>
      <c r="D89" s="13">
        <v>593.23</v>
      </c>
      <c r="E89" s="13">
        <v>3.03</v>
      </c>
      <c r="F89" s="13">
        <v>590.20000000000005</v>
      </c>
      <c r="G89" s="14">
        <v>0</v>
      </c>
      <c r="H89" s="15">
        <v>0</v>
      </c>
      <c r="I89" s="13">
        <v>181308</v>
      </c>
    </row>
    <row r="90" spans="1:9" x14ac:dyDescent="0.2">
      <c r="A90" s="11" t="s">
        <v>122</v>
      </c>
      <c r="B90" s="12">
        <v>224</v>
      </c>
      <c r="C90" s="13">
        <v>159195</v>
      </c>
      <c r="D90" s="13">
        <v>710.69</v>
      </c>
      <c r="E90" s="13">
        <v>9.81</v>
      </c>
      <c r="F90" s="13">
        <v>700.88</v>
      </c>
      <c r="G90" s="14">
        <v>0</v>
      </c>
      <c r="H90" s="15">
        <v>0</v>
      </c>
      <c r="I90" s="13">
        <v>156998</v>
      </c>
    </row>
    <row r="91" spans="1:9" x14ac:dyDescent="0.2">
      <c r="A91" s="11" t="s">
        <v>123</v>
      </c>
      <c r="B91" s="12">
        <v>597</v>
      </c>
      <c r="C91" s="13">
        <v>230772</v>
      </c>
      <c r="D91" s="13">
        <v>386.75</v>
      </c>
      <c r="E91" s="13">
        <v>124.9</v>
      </c>
      <c r="F91" s="13">
        <v>261.85000000000002</v>
      </c>
      <c r="G91" s="14">
        <v>10.199999999999999</v>
      </c>
      <c r="H91" s="22">
        <v>3</v>
      </c>
      <c r="I91" s="13">
        <v>156247</v>
      </c>
    </row>
    <row r="92" spans="1:9" x14ac:dyDescent="0.2">
      <c r="A92" s="11" t="s">
        <v>124</v>
      </c>
      <c r="B92" s="12">
        <v>171</v>
      </c>
      <c r="C92" s="13">
        <v>177324</v>
      </c>
      <c r="D92" s="13">
        <v>1036.98</v>
      </c>
      <c r="E92" s="13">
        <v>130.21</v>
      </c>
      <c r="F92" s="13">
        <v>906.77</v>
      </c>
      <c r="G92" s="14">
        <v>0.1</v>
      </c>
      <c r="H92" s="15">
        <v>0</v>
      </c>
      <c r="I92" s="13">
        <v>155058</v>
      </c>
    </row>
    <row r="93" spans="1:9" x14ac:dyDescent="0.2">
      <c r="A93" s="11" t="s">
        <v>125</v>
      </c>
      <c r="B93" s="12">
        <v>730</v>
      </c>
      <c r="C93" s="13">
        <v>225080</v>
      </c>
      <c r="D93" s="13">
        <v>308.2</v>
      </c>
      <c r="E93" s="13">
        <v>99.48</v>
      </c>
      <c r="F93" s="13">
        <v>208.72</v>
      </c>
      <c r="G93" s="14">
        <v>1.6</v>
      </c>
      <c r="H93" s="22">
        <v>0.1</v>
      </c>
      <c r="I93" s="13">
        <v>152426</v>
      </c>
    </row>
    <row r="94" spans="1:9" x14ac:dyDescent="0.2">
      <c r="A94" s="11" t="s">
        <v>126</v>
      </c>
      <c r="B94" s="12">
        <v>582</v>
      </c>
      <c r="C94" s="13">
        <v>191235</v>
      </c>
      <c r="D94" s="13">
        <v>328.47</v>
      </c>
      <c r="E94" s="13">
        <v>88.27</v>
      </c>
      <c r="F94" s="13">
        <v>240.2</v>
      </c>
      <c r="G94" s="14">
        <v>0.5</v>
      </c>
      <c r="H94" s="15">
        <v>-0.3</v>
      </c>
      <c r="I94" s="13">
        <v>139842</v>
      </c>
    </row>
    <row r="95" spans="1:9" x14ac:dyDescent="0.2">
      <c r="A95" s="11" t="s">
        <v>127</v>
      </c>
      <c r="B95" s="12">
        <v>489</v>
      </c>
      <c r="C95" s="13">
        <v>107794</v>
      </c>
      <c r="D95" s="13">
        <v>220.39</v>
      </c>
      <c r="E95" s="13">
        <v>7.17</v>
      </c>
      <c r="F95" s="13">
        <v>213.22</v>
      </c>
      <c r="G95" s="14">
        <v>0</v>
      </c>
      <c r="H95" s="15">
        <v>0</v>
      </c>
      <c r="I95" s="13">
        <v>104286</v>
      </c>
    </row>
    <row r="96" spans="1:9" x14ac:dyDescent="0.2">
      <c r="A96" s="11" t="s">
        <v>128</v>
      </c>
      <c r="B96" s="12">
        <v>34</v>
      </c>
      <c r="C96" s="13">
        <v>136004</v>
      </c>
      <c r="D96" s="13">
        <v>4000.13</v>
      </c>
      <c r="E96" s="13">
        <v>1085.5899999999999</v>
      </c>
      <c r="F96" s="13">
        <v>2914.54</v>
      </c>
      <c r="G96" s="14">
        <v>0.6</v>
      </c>
      <c r="H96" s="21"/>
      <c r="I96" s="13">
        <v>99094</v>
      </c>
    </row>
    <row r="97" spans="1:9" x14ac:dyDescent="0.2">
      <c r="A97" s="11" t="s">
        <v>129</v>
      </c>
      <c r="B97" s="12">
        <v>76</v>
      </c>
      <c r="C97" s="13">
        <v>117929</v>
      </c>
      <c r="D97" s="13">
        <v>1551.7</v>
      </c>
      <c r="E97" s="13">
        <v>282.91000000000003</v>
      </c>
      <c r="F97" s="13">
        <v>1268.79</v>
      </c>
      <c r="G97" s="14">
        <v>2.2999999999999998</v>
      </c>
      <c r="H97" s="22">
        <v>0.1</v>
      </c>
      <c r="I97" s="13">
        <v>96428</v>
      </c>
    </row>
    <row r="98" spans="1:9" x14ac:dyDescent="0.2">
      <c r="A98" s="11" t="s">
        <v>130</v>
      </c>
      <c r="B98" s="12">
        <v>511</v>
      </c>
      <c r="C98" s="13">
        <v>139001</v>
      </c>
      <c r="D98" s="13">
        <v>272.02</v>
      </c>
      <c r="E98" s="13">
        <v>89.2</v>
      </c>
      <c r="F98" s="13">
        <v>182.82</v>
      </c>
      <c r="G98" s="14">
        <v>0.5</v>
      </c>
      <c r="H98" s="15">
        <v>0</v>
      </c>
      <c r="I98" s="13">
        <v>93421</v>
      </c>
    </row>
    <row r="99" spans="1:9" x14ac:dyDescent="0.2">
      <c r="A99" s="11" t="s">
        <v>131</v>
      </c>
      <c r="B99" s="12">
        <v>149</v>
      </c>
      <c r="C99" s="13">
        <v>101054</v>
      </c>
      <c r="D99" s="13">
        <v>678.22</v>
      </c>
      <c r="E99" s="13">
        <v>136.62</v>
      </c>
      <c r="F99" s="13">
        <v>541.6</v>
      </c>
      <c r="G99" s="14">
        <v>0.6</v>
      </c>
      <c r="H99" s="15">
        <v>-1.3</v>
      </c>
      <c r="I99" s="13">
        <v>80698</v>
      </c>
    </row>
    <row r="100" spans="1:9" x14ac:dyDescent="0.2">
      <c r="A100" s="11" t="s">
        <v>132</v>
      </c>
      <c r="B100" s="12">
        <v>498</v>
      </c>
      <c r="C100" s="13">
        <v>113671</v>
      </c>
      <c r="D100" s="13">
        <v>228.16</v>
      </c>
      <c r="E100" s="13">
        <v>81.66</v>
      </c>
      <c r="F100" s="13">
        <v>146.51</v>
      </c>
      <c r="G100" s="14">
        <v>1.7</v>
      </c>
      <c r="H100" s="15">
        <v>-2.2999999999999998</v>
      </c>
      <c r="I100" s="13">
        <v>72990</v>
      </c>
    </row>
    <row r="101" spans="1:9" x14ac:dyDescent="0.2">
      <c r="A101" s="11" t="s">
        <v>133</v>
      </c>
      <c r="B101" s="12">
        <v>50</v>
      </c>
      <c r="C101" s="13">
        <v>94278</v>
      </c>
      <c r="D101" s="13">
        <v>1870.59</v>
      </c>
      <c r="E101" s="13">
        <v>439.52</v>
      </c>
      <c r="F101" s="13">
        <v>1431.07</v>
      </c>
      <c r="G101" s="14">
        <v>0.1</v>
      </c>
      <c r="H101" s="15">
        <v>-0.1</v>
      </c>
      <c r="I101" s="13">
        <v>72126</v>
      </c>
    </row>
    <row r="102" spans="1:9" x14ac:dyDescent="0.2">
      <c r="A102" s="11" t="s">
        <v>134</v>
      </c>
      <c r="B102" s="12">
        <v>73</v>
      </c>
      <c r="C102" s="13">
        <v>70510</v>
      </c>
      <c r="D102" s="13">
        <v>965.89</v>
      </c>
      <c r="E102" s="13">
        <v>55.37</v>
      </c>
      <c r="F102" s="13">
        <v>910.52</v>
      </c>
      <c r="G102" s="14">
        <v>55.7</v>
      </c>
      <c r="H102" s="22">
        <v>8.6</v>
      </c>
      <c r="I102" s="13">
        <v>66468</v>
      </c>
    </row>
    <row r="103" spans="1:9" x14ac:dyDescent="0.2">
      <c r="A103" s="11" t="s">
        <v>135</v>
      </c>
      <c r="B103" s="12">
        <v>597</v>
      </c>
      <c r="C103" s="13">
        <v>92618</v>
      </c>
      <c r="D103" s="13">
        <v>155.22</v>
      </c>
      <c r="E103" s="13">
        <v>55.55</v>
      </c>
      <c r="F103" s="13">
        <v>99.67</v>
      </c>
      <c r="G103" s="14">
        <v>0.1</v>
      </c>
      <c r="H103" s="15">
        <v>0</v>
      </c>
      <c r="I103" s="13">
        <v>59473</v>
      </c>
    </row>
    <row r="104" spans="1:9" x14ac:dyDescent="0.2">
      <c r="A104" s="11" t="s">
        <v>136</v>
      </c>
      <c r="B104" s="12">
        <v>79</v>
      </c>
      <c r="C104" s="13">
        <v>64590</v>
      </c>
      <c r="D104" s="13">
        <v>817.6</v>
      </c>
      <c r="E104" s="13">
        <v>94.28</v>
      </c>
      <c r="F104" s="13">
        <v>723.31</v>
      </c>
      <c r="G104" s="14">
        <v>0</v>
      </c>
      <c r="H104" s="15">
        <v>0</v>
      </c>
      <c r="I104" s="13">
        <v>57142</v>
      </c>
    </row>
    <row r="105" spans="1:9" x14ac:dyDescent="0.2">
      <c r="A105" s="11" t="s">
        <v>137</v>
      </c>
      <c r="B105" s="12">
        <v>123</v>
      </c>
      <c r="C105" s="13">
        <v>56306</v>
      </c>
      <c r="D105" s="13">
        <v>457.4</v>
      </c>
      <c r="E105" s="13">
        <v>3.97</v>
      </c>
      <c r="F105" s="13">
        <v>453.43</v>
      </c>
      <c r="G105" s="14">
        <v>0</v>
      </c>
      <c r="H105" s="15">
        <v>0</v>
      </c>
      <c r="I105" s="13">
        <v>55817</v>
      </c>
    </row>
    <row r="106" spans="1:9" x14ac:dyDescent="0.2">
      <c r="A106" s="11" t="s">
        <v>138</v>
      </c>
      <c r="B106" s="12">
        <v>81</v>
      </c>
      <c r="C106" s="13">
        <v>72821</v>
      </c>
      <c r="D106" s="13">
        <v>895.71</v>
      </c>
      <c r="E106" s="13">
        <v>216.94</v>
      </c>
      <c r="F106" s="13">
        <v>678.76</v>
      </c>
      <c r="G106" s="14">
        <v>5.5</v>
      </c>
      <c r="H106" s="15">
        <v>-2.4</v>
      </c>
      <c r="I106" s="13">
        <v>55184</v>
      </c>
    </row>
    <row r="107" spans="1:9" x14ac:dyDescent="0.2">
      <c r="A107" s="11" t="s">
        <v>139</v>
      </c>
      <c r="B107" s="12">
        <v>78</v>
      </c>
      <c r="C107" s="13">
        <v>63603</v>
      </c>
      <c r="D107" s="13">
        <v>815.43</v>
      </c>
      <c r="E107" s="13">
        <v>167.54</v>
      </c>
      <c r="F107" s="13">
        <v>647.89</v>
      </c>
      <c r="G107" s="14">
        <v>0.6</v>
      </c>
      <c r="H107" s="15">
        <v>-1.3</v>
      </c>
      <c r="I107" s="13">
        <v>50535</v>
      </c>
    </row>
    <row r="108" spans="1:9" x14ac:dyDescent="0.2">
      <c r="A108" s="11" t="s">
        <v>140</v>
      </c>
      <c r="B108" s="12">
        <v>48</v>
      </c>
      <c r="C108" s="13">
        <v>37489</v>
      </c>
      <c r="D108" s="13">
        <v>781.02</v>
      </c>
      <c r="E108" s="13">
        <v>3.83</v>
      </c>
      <c r="F108" s="13">
        <v>777.19</v>
      </c>
      <c r="G108" s="14">
        <v>0</v>
      </c>
      <c r="H108" s="21"/>
      <c r="I108" s="13">
        <v>37305</v>
      </c>
    </row>
    <row r="109" spans="1:9" x14ac:dyDescent="0.2">
      <c r="A109" s="11" t="s">
        <v>141</v>
      </c>
      <c r="B109" s="12">
        <v>12</v>
      </c>
      <c r="C109" s="13">
        <v>37184</v>
      </c>
      <c r="D109" s="13">
        <v>3098.66</v>
      </c>
      <c r="E109" s="13">
        <v>18.55</v>
      </c>
      <c r="F109" s="13">
        <v>3080.11</v>
      </c>
      <c r="G109" s="14">
        <v>0</v>
      </c>
      <c r="H109" s="15">
        <v>0</v>
      </c>
      <c r="I109" s="13">
        <v>36961</v>
      </c>
    </row>
    <row r="110" spans="1:9" x14ac:dyDescent="0.2">
      <c r="A110" s="11" t="s">
        <v>142</v>
      </c>
      <c r="B110" s="12">
        <v>243</v>
      </c>
      <c r="C110" s="13">
        <v>36347</v>
      </c>
      <c r="D110" s="13">
        <v>149.58000000000001</v>
      </c>
      <c r="E110" s="13">
        <v>5.5</v>
      </c>
      <c r="F110" s="13">
        <v>144.07</v>
      </c>
      <c r="G110" s="14">
        <v>0</v>
      </c>
      <c r="H110" s="15">
        <v>0</v>
      </c>
      <c r="I110" s="13">
        <v>35010</v>
      </c>
    </row>
    <row r="111" spans="1:9" x14ac:dyDescent="0.2">
      <c r="A111" s="11" t="s">
        <v>143</v>
      </c>
      <c r="B111" s="12">
        <v>12</v>
      </c>
      <c r="C111" s="13">
        <v>41907</v>
      </c>
      <c r="D111" s="13">
        <v>3463.35</v>
      </c>
      <c r="E111" s="13">
        <v>609.5</v>
      </c>
      <c r="F111" s="13">
        <v>2853.85</v>
      </c>
      <c r="G111" s="14">
        <v>1.4</v>
      </c>
      <c r="H111" s="21"/>
      <c r="I111" s="13">
        <v>34532</v>
      </c>
    </row>
    <row r="112" spans="1:9" x14ac:dyDescent="0.2">
      <c r="A112" s="11" t="s">
        <v>144</v>
      </c>
      <c r="B112" s="12">
        <v>209</v>
      </c>
      <c r="C112" s="13">
        <v>92803</v>
      </c>
      <c r="D112" s="13">
        <v>444.03</v>
      </c>
      <c r="E112" s="13">
        <v>280.31</v>
      </c>
      <c r="F112" s="13">
        <v>163.72</v>
      </c>
      <c r="G112" s="14">
        <v>50.7</v>
      </c>
      <c r="H112" s="15">
        <v>-16</v>
      </c>
      <c r="I112" s="13">
        <v>34217</v>
      </c>
    </row>
    <row r="113" spans="1:9" x14ac:dyDescent="0.2">
      <c r="A113" s="11" t="s">
        <v>145</v>
      </c>
      <c r="B113" s="12">
        <v>176</v>
      </c>
      <c r="C113" s="13">
        <v>108720</v>
      </c>
      <c r="D113" s="13">
        <v>616.32000000000005</v>
      </c>
      <c r="E113" s="13">
        <v>431.98</v>
      </c>
      <c r="F113" s="13">
        <v>184.34</v>
      </c>
      <c r="G113" s="14">
        <v>2.9</v>
      </c>
      <c r="H113" s="15">
        <v>-1.9</v>
      </c>
      <c r="I113" s="13">
        <v>32518</v>
      </c>
    </row>
    <row r="114" spans="1:9" x14ac:dyDescent="0.2">
      <c r="A114" s="11" t="s">
        <v>146</v>
      </c>
      <c r="B114" s="12">
        <v>67</v>
      </c>
      <c r="C114" s="13">
        <v>55614</v>
      </c>
      <c r="D114" s="13">
        <v>830.06</v>
      </c>
      <c r="E114" s="13">
        <v>418.28</v>
      </c>
      <c r="F114" s="13">
        <v>411.78</v>
      </c>
      <c r="G114" s="14">
        <v>0.5</v>
      </c>
      <c r="H114" s="22">
        <v>0.1</v>
      </c>
      <c r="I114" s="13">
        <v>27589</v>
      </c>
    </row>
    <row r="115" spans="1:9" x14ac:dyDescent="0.2">
      <c r="A115" s="11" t="s">
        <v>147</v>
      </c>
      <c r="B115" s="12">
        <v>14</v>
      </c>
      <c r="C115" s="13">
        <v>26378</v>
      </c>
      <c r="D115" s="13">
        <v>1884.13</v>
      </c>
      <c r="E115" s="13">
        <v>31.64</v>
      </c>
      <c r="F115" s="13">
        <v>1852.49</v>
      </c>
      <c r="G115" s="14">
        <v>0</v>
      </c>
      <c r="H115" s="15">
        <v>0</v>
      </c>
      <c r="I115" s="13">
        <v>25935</v>
      </c>
    </row>
    <row r="116" spans="1:9" x14ac:dyDescent="0.2">
      <c r="A116" s="11" t="s">
        <v>148</v>
      </c>
      <c r="B116" s="12">
        <v>52</v>
      </c>
      <c r="C116" s="13">
        <v>37148</v>
      </c>
      <c r="D116" s="13">
        <v>714.38</v>
      </c>
      <c r="E116" s="13">
        <v>218.95</v>
      </c>
      <c r="F116" s="13">
        <v>495.43</v>
      </c>
      <c r="G116" s="14">
        <v>55.3</v>
      </c>
      <c r="H116" s="15">
        <v>-24.7</v>
      </c>
      <c r="I116" s="13">
        <v>25763</v>
      </c>
    </row>
    <row r="117" spans="1:9" x14ac:dyDescent="0.2">
      <c r="A117" s="11" t="s">
        <v>149</v>
      </c>
      <c r="B117" s="12">
        <v>15</v>
      </c>
      <c r="C117" s="13">
        <v>26593</v>
      </c>
      <c r="D117" s="13">
        <v>1772.89</v>
      </c>
      <c r="E117" s="13">
        <v>95.12</v>
      </c>
      <c r="F117" s="13">
        <v>1677.77</v>
      </c>
      <c r="G117" s="14">
        <v>0</v>
      </c>
      <c r="H117" s="15">
        <v>0</v>
      </c>
      <c r="I117" s="13">
        <v>25167</v>
      </c>
    </row>
    <row r="118" spans="1:9" x14ac:dyDescent="0.2">
      <c r="A118" s="11" t="s">
        <v>150</v>
      </c>
      <c r="B118" s="12">
        <v>90</v>
      </c>
      <c r="C118" s="13">
        <v>79194</v>
      </c>
      <c r="D118" s="13">
        <v>884.84</v>
      </c>
      <c r="E118" s="13">
        <v>675.65</v>
      </c>
      <c r="F118" s="13">
        <v>209.19</v>
      </c>
      <c r="G118" s="14">
        <v>32.700000000000003</v>
      </c>
      <c r="H118" s="15">
        <v>-5</v>
      </c>
      <c r="I118" s="13">
        <v>18723</v>
      </c>
    </row>
    <row r="119" spans="1:9" x14ac:dyDescent="0.2">
      <c r="A119" s="11" t="s">
        <v>151</v>
      </c>
      <c r="B119" s="12">
        <v>90</v>
      </c>
      <c r="C119" s="13">
        <v>44654</v>
      </c>
      <c r="D119" s="13">
        <v>496.16</v>
      </c>
      <c r="E119" s="13">
        <v>289.29000000000002</v>
      </c>
      <c r="F119" s="13">
        <v>206.87</v>
      </c>
      <c r="G119" s="14">
        <v>3.3</v>
      </c>
      <c r="H119" s="15">
        <v>-2.7</v>
      </c>
      <c r="I119" s="13">
        <v>18618</v>
      </c>
    </row>
    <row r="120" spans="1:9" x14ac:dyDescent="0.2">
      <c r="A120" s="11" t="s">
        <v>152</v>
      </c>
      <c r="B120" s="12">
        <v>265</v>
      </c>
      <c r="C120" s="13">
        <v>94422</v>
      </c>
      <c r="D120" s="13">
        <v>355.77</v>
      </c>
      <c r="E120" s="13">
        <v>292.85000000000002</v>
      </c>
      <c r="F120" s="13">
        <v>62.93</v>
      </c>
      <c r="G120" s="14">
        <v>34.1</v>
      </c>
      <c r="H120" s="15">
        <v>-62.9</v>
      </c>
      <c r="I120" s="13">
        <v>16701</v>
      </c>
    </row>
    <row r="121" spans="1:9" x14ac:dyDescent="0.2">
      <c r="A121" s="11" t="s">
        <v>153</v>
      </c>
      <c r="B121" s="12">
        <v>86</v>
      </c>
      <c r="C121" s="13">
        <v>15252</v>
      </c>
      <c r="D121" s="13">
        <v>177.35</v>
      </c>
      <c r="E121" s="13">
        <v>13.93</v>
      </c>
      <c r="F121" s="13">
        <v>163.41999999999999</v>
      </c>
      <c r="G121" s="14">
        <v>0</v>
      </c>
      <c r="H121" s="15">
        <v>0</v>
      </c>
      <c r="I121" s="13">
        <v>14054</v>
      </c>
    </row>
    <row r="122" spans="1:9" x14ac:dyDescent="0.2">
      <c r="A122" s="11" t="s">
        <v>154</v>
      </c>
      <c r="B122" s="12">
        <v>50</v>
      </c>
      <c r="C122" s="13">
        <v>15030</v>
      </c>
      <c r="D122" s="13">
        <v>300.58999999999997</v>
      </c>
      <c r="E122" s="13">
        <v>21.62</v>
      </c>
      <c r="F122" s="13">
        <v>278.97000000000003</v>
      </c>
      <c r="G122" s="14">
        <v>0</v>
      </c>
      <c r="H122" s="15">
        <v>0</v>
      </c>
      <c r="I122" s="13">
        <v>13949</v>
      </c>
    </row>
    <row r="123" spans="1:9" x14ac:dyDescent="0.2">
      <c r="A123" s="11" t="s">
        <v>155</v>
      </c>
      <c r="B123" s="12">
        <v>23</v>
      </c>
      <c r="C123" s="13">
        <v>14757</v>
      </c>
      <c r="D123" s="13">
        <v>641.61</v>
      </c>
      <c r="E123" s="13">
        <v>35.49</v>
      </c>
      <c r="F123" s="13">
        <v>606.12</v>
      </c>
      <c r="G123" s="14">
        <v>0</v>
      </c>
      <c r="H123" s="15">
        <v>0</v>
      </c>
      <c r="I123" s="13">
        <v>13941</v>
      </c>
    </row>
    <row r="124" spans="1:9" x14ac:dyDescent="0.2">
      <c r="A124" s="11" t="s">
        <v>156</v>
      </c>
      <c r="B124" s="12">
        <v>50</v>
      </c>
      <c r="C124" s="13">
        <v>14159</v>
      </c>
      <c r="D124" s="13">
        <v>283.18</v>
      </c>
      <c r="E124" s="13">
        <v>37.409999999999997</v>
      </c>
      <c r="F124" s="13">
        <v>245.77</v>
      </c>
      <c r="G124" s="14">
        <v>0.1</v>
      </c>
      <c r="H124" s="15">
        <v>0</v>
      </c>
      <c r="I124" s="13">
        <v>12288</v>
      </c>
    </row>
    <row r="125" spans="1:9" x14ac:dyDescent="0.2">
      <c r="A125" s="11" t="s">
        <v>157</v>
      </c>
      <c r="B125" s="12">
        <v>13</v>
      </c>
      <c r="C125" s="13">
        <v>13064</v>
      </c>
      <c r="D125" s="13">
        <v>982.24</v>
      </c>
      <c r="E125" s="13">
        <v>151.61000000000001</v>
      </c>
      <c r="F125" s="13">
        <v>830.63</v>
      </c>
      <c r="G125" s="14">
        <v>0.4</v>
      </c>
      <c r="H125" s="15">
        <v>-0.6</v>
      </c>
      <c r="I125" s="13">
        <v>11047</v>
      </c>
    </row>
    <row r="126" spans="1:9" x14ac:dyDescent="0.2">
      <c r="A126" s="11" t="s">
        <v>158</v>
      </c>
      <c r="B126" s="12">
        <v>2451</v>
      </c>
      <c r="C126" s="13">
        <v>52530</v>
      </c>
      <c r="D126" s="13">
        <v>21.43</v>
      </c>
      <c r="E126" s="13">
        <v>16.93</v>
      </c>
      <c r="F126" s="13">
        <v>4.5</v>
      </c>
      <c r="G126" s="14">
        <v>0.2</v>
      </c>
      <c r="H126" s="15">
        <v>-0.1</v>
      </c>
      <c r="I126" s="13">
        <v>11020</v>
      </c>
    </row>
    <row r="127" spans="1:9" x14ac:dyDescent="0.2">
      <c r="A127" s="11" t="s">
        <v>159</v>
      </c>
      <c r="B127" s="12">
        <v>47</v>
      </c>
      <c r="C127" s="13">
        <v>13320</v>
      </c>
      <c r="D127" s="13">
        <v>283.41000000000003</v>
      </c>
      <c r="E127" s="13">
        <v>56.28</v>
      </c>
      <c r="F127" s="13">
        <v>227.13</v>
      </c>
      <c r="G127" s="14">
        <v>1.2</v>
      </c>
      <c r="H127" s="15">
        <v>-0.6</v>
      </c>
      <c r="I127" s="13">
        <v>10675</v>
      </c>
    </row>
    <row r="128" spans="1:9" x14ac:dyDescent="0.2">
      <c r="A128" s="11" t="s">
        <v>160</v>
      </c>
      <c r="B128" s="12">
        <v>63</v>
      </c>
      <c r="C128" s="13">
        <v>2086</v>
      </c>
      <c r="D128" s="13">
        <v>33.11</v>
      </c>
      <c r="E128" s="13">
        <v>11.25</v>
      </c>
      <c r="F128" s="13">
        <v>21.86</v>
      </c>
      <c r="G128" s="14">
        <v>0</v>
      </c>
      <c r="H128" s="15">
        <v>0</v>
      </c>
      <c r="I128" s="13">
        <v>1377</v>
      </c>
    </row>
    <row r="129" spans="1:9" x14ac:dyDescent="0.2">
      <c r="A129" s="11" t="s">
        <v>161</v>
      </c>
      <c r="B129" s="12">
        <v>29</v>
      </c>
      <c r="C129" s="13">
        <v>7315</v>
      </c>
      <c r="D129" s="13">
        <v>252.24</v>
      </c>
      <c r="E129" s="13">
        <v>205.2</v>
      </c>
      <c r="F129" s="13">
        <v>47.04</v>
      </c>
      <c r="G129" s="14">
        <v>3.1</v>
      </c>
      <c r="H129" s="21"/>
      <c r="I129" s="13">
        <v>1364</v>
      </c>
    </row>
    <row r="130" spans="1:9" x14ac:dyDescent="0.2">
      <c r="A130" s="11" t="s">
        <v>162</v>
      </c>
      <c r="B130" s="12">
        <v>76</v>
      </c>
      <c r="C130" s="13">
        <v>2188</v>
      </c>
      <c r="D130" s="13">
        <v>28.79</v>
      </c>
      <c r="E130" s="13">
        <v>16.829999999999998</v>
      </c>
      <c r="F130" s="13">
        <v>11.96</v>
      </c>
      <c r="G130" s="14">
        <v>1.3</v>
      </c>
      <c r="H130" s="22">
        <v>1.1000000000000001</v>
      </c>
      <c r="I130" s="13">
        <v>909</v>
      </c>
    </row>
    <row r="131" spans="1:9" x14ac:dyDescent="0.2">
      <c r="A131" s="11" t="s">
        <v>163</v>
      </c>
      <c r="B131" s="12">
        <v>12</v>
      </c>
      <c r="C131" s="13">
        <v>909</v>
      </c>
      <c r="D131" s="13">
        <v>75.760000000000005</v>
      </c>
      <c r="E131" s="13">
        <v>8.66</v>
      </c>
      <c r="F131" s="13">
        <v>67.099999999999994</v>
      </c>
      <c r="G131" s="14">
        <v>0</v>
      </c>
      <c r="H131" s="21"/>
      <c r="I131" s="13">
        <v>805</v>
      </c>
    </row>
    <row r="132" spans="1:9" x14ac:dyDescent="0.2">
      <c r="A132" s="11" t="s">
        <v>164</v>
      </c>
      <c r="B132" s="12">
        <v>14</v>
      </c>
      <c r="C132" s="13">
        <v>1468</v>
      </c>
      <c r="D132" s="13">
        <v>104.83</v>
      </c>
      <c r="E132" s="13">
        <v>65.12</v>
      </c>
      <c r="F132" s="13">
        <v>39.71</v>
      </c>
      <c r="G132" s="14">
        <v>0.1</v>
      </c>
      <c r="H132" s="15">
        <v>0</v>
      </c>
      <c r="I132" s="13">
        <v>556</v>
      </c>
    </row>
    <row r="133" spans="1:9" x14ac:dyDescent="0.2">
      <c r="A133" s="11" t="s">
        <v>165</v>
      </c>
      <c r="B133" s="12">
        <v>11</v>
      </c>
      <c r="C133" s="13">
        <v>100</v>
      </c>
      <c r="D133" s="13">
        <v>9.07</v>
      </c>
      <c r="E133" s="13">
        <v>6.99</v>
      </c>
      <c r="F133" s="13">
        <v>2.0699999999999998</v>
      </c>
      <c r="G133" s="14">
        <v>0</v>
      </c>
      <c r="H133" s="21"/>
      <c r="I133" s="13">
        <v>23</v>
      </c>
    </row>
    <row r="135" spans="1:9" x14ac:dyDescent="0.2">
      <c r="A135" s="7" t="s">
        <v>166</v>
      </c>
    </row>
    <row r="136" spans="1:9" x14ac:dyDescent="0.2">
      <c r="A136" s="2" t="s">
        <v>167</v>
      </c>
      <c r="B136" s="2"/>
      <c r="C136" s="2"/>
      <c r="D136" s="2"/>
      <c r="E136" s="2"/>
      <c r="F136" s="2"/>
      <c r="G136" s="2"/>
      <c r="H136" s="2"/>
      <c r="I136" s="2"/>
    </row>
  </sheetData>
  <mergeCells count="1">
    <mergeCell ref="A136:I1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showGridLines="0" tabSelected="1" zoomScaleNormal="100" workbookViewId="0">
      <pane ySplit="11" topLeftCell="A12" activePane="bottomLeft" state="frozen"/>
      <selection pane="bottomLeft" activeCell="B7" sqref="B7"/>
    </sheetView>
  </sheetViews>
  <sheetFormatPr baseColWidth="10" defaultColWidth="8.6640625" defaultRowHeight="15" x14ac:dyDescent="0.2"/>
  <cols>
    <col min="1" max="1" width="26" customWidth="1"/>
    <col min="2" max="2" width="17" customWidth="1"/>
    <col min="3" max="3" width="16" customWidth="1"/>
    <col min="4" max="4" width="11" customWidth="1"/>
    <col min="5" max="5" width="19" customWidth="1"/>
    <col min="6" max="6" width="16" customWidth="1"/>
    <col min="7" max="7" width="19" customWidth="1"/>
  </cols>
  <sheetData>
    <row r="1" spans="1:7" ht="18" x14ac:dyDescent="0.2">
      <c r="A1" s="5" t="s">
        <v>168</v>
      </c>
    </row>
    <row r="2" spans="1:7" x14ac:dyDescent="0.2">
      <c r="A2" s="6" t="s">
        <v>169</v>
      </c>
    </row>
    <row r="4" spans="1:7" x14ac:dyDescent="0.2">
      <c r="A4" s="7" t="s">
        <v>170</v>
      </c>
    </row>
    <row r="5" spans="1:7" x14ac:dyDescent="0.2">
      <c r="A5" s="8" t="s">
        <v>171</v>
      </c>
      <c r="B5" s="23">
        <v>0.1</v>
      </c>
      <c r="C5" s="6" t="s">
        <v>172</v>
      </c>
    </row>
    <row r="6" spans="1:7" x14ac:dyDescent="0.2">
      <c r="A6" s="8" t="s">
        <v>173</v>
      </c>
      <c r="B6" s="23">
        <v>0.25</v>
      </c>
      <c r="C6" s="6" t="s">
        <v>174</v>
      </c>
    </row>
    <row r="7" spans="1:7" x14ac:dyDescent="0.2">
      <c r="A7" s="8" t="s">
        <v>175</v>
      </c>
      <c r="B7" s="23">
        <v>0.4</v>
      </c>
      <c r="C7" s="6" t="s">
        <v>176</v>
      </c>
    </row>
    <row r="9" spans="1:7" x14ac:dyDescent="0.2">
      <c r="A9" s="6" t="s">
        <v>177</v>
      </c>
    </row>
    <row r="11" spans="1:7" ht="30" customHeight="1" x14ac:dyDescent="0.2">
      <c r="A11" s="10" t="s">
        <v>178</v>
      </c>
      <c r="B11" s="10" t="s">
        <v>29</v>
      </c>
      <c r="C11" s="10" t="s">
        <v>30</v>
      </c>
      <c r="D11" s="10" t="s">
        <v>33</v>
      </c>
      <c r="E11" s="10" t="s">
        <v>179</v>
      </c>
      <c r="F11" s="10" t="s">
        <v>180</v>
      </c>
      <c r="G11" s="10" t="s">
        <v>181</v>
      </c>
    </row>
    <row r="12" spans="1:7" x14ac:dyDescent="0.2">
      <c r="A12" s="11" t="s">
        <v>182</v>
      </c>
      <c r="B12" s="12">
        <v>664707</v>
      </c>
      <c r="C12" s="13">
        <v>204258685</v>
      </c>
      <c r="D12" s="13">
        <v>156.47999999999999</v>
      </c>
      <c r="E12" s="13">
        <f t="shared" ref="E12:E43" si="0">$B12*$D12*$B$5</f>
        <v>10401335.136</v>
      </c>
      <c r="F12" s="13">
        <f t="shared" ref="F12:F43" si="1">$B12*$D12*$B$6</f>
        <v>26003337.84</v>
      </c>
      <c r="G12" s="13">
        <f t="shared" ref="G12:G43" si="2">$B12*$D12*$B$7</f>
        <v>41605340.544</v>
      </c>
    </row>
    <row r="13" spans="1:7" x14ac:dyDescent="0.2">
      <c r="A13" s="11" t="s">
        <v>183</v>
      </c>
      <c r="B13" s="12">
        <v>358521</v>
      </c>
      <c r="C13" s="13">
        <v>110920211</v>
      </c>
      <c r="D13" s="13">
        <v>156.47999999999999</v>
      </c>
      <c r="E13" s="13">
        <f t="shared" si="0"/>
        <v>5610136.608</v>
      </c>
      <c r="F13" s="13">
        <f t="shared" si="1"/>
        <v>14025341.52</v>
      </c>
      <c r="G13" s="13">
        <f t="shared" si="2"/>
        <v>22440546.432</v>
      </c>
    </row>
    <row r="14" spans="1:7" x14ac:dyDescent="0.2">
      <c r="A14" s="11" t="s">
        <v>184</v>
      </c>
      <c r="B14" s="12">
        <v>245285</v>
      </c>
      <c r="C14" s="13">
        <v>76340607</v>
      </c>
      <c r="D14" s="13">
        <v>156.47999999999999</v>
      </c>
      <c r="E14" s="13">
        <f t="shared" si="0"/>
        <v>3838219.6799999997</v>
      </c>
      <c r="F14" s="13">
        <f t="shared" si="1"/>
        <v>9595549.1999999993</v>
      </c>
      <c r="G14" s="13">
        <f t="shared" si="2"/>
        <v>15352878.719999999</v>
      </c>
    </row>
    <row r="15" spans="1:7" x14ac:dyDescent="0.2">
      <c r="A15" s="11" t="s">
        <v>185</v>
      </c>
      <c r="B15" s="12">
        <v>215975</v>
      </c>
      <c r="C15" s="13">
        <v>69366538</v>
      </c>
      <c r="D15" s="13">
        <v>156.47999999999999</v>
      </c>
      <c r="E15" s="13">
        <f t="shared" si="0"/>
        <v>3379576.8000000003</v>
      </c>
      <c r="F15" s="13">
        <f t="shared" si="1"/>
        <v>8448942</v>
      </c>
      <c r="G15" s="13">
        <f t="shared" si="2"/>
        <v>13518307.200000001</v>
      </c>
    </row>
    <row r="16" spans="1:7" x14ac:dyDescent="0.2">
      <c r="A16" s="11" t="s">
        <v>186</v>
      </c>
      <c r="B16" s="12">
        <v>88649</v>
      </c>
      <c r="C16" s="13">
        <v>28161747</v>
      </c>
      <c r="D16" s="13">
        <v>156.47999999999999</v>
      </c>
      <c r="E16" s="13">
        <f t="shared" si="0"/>
        <v>1387179.5520000001</v>
      </c>
      <c r="F16" s="13">
        <f t="shared" si="1"/>
        <v>3467948.88</v>
      </c>
      <c r="G16" s="13">
        <f t="shared" si="2"/>
        <v>5548718.2080000006</v>
      </c>
    </row>
    <row r="17" spans="1:7" x14ac:dyDescent="0.2">
      <c r="A17" s="11" t="s">
        <v>187</v>
      </c>
      <c r="B17" s="12">
        <v>61836</v>
      </c>
      <c r="C17" s="13">
        <v>20341434</v>
      </c>
      <c r="D17" s="13">
        <v>156.47999999999999</v>
      </c>
      <c r="E17" s="13">
        <f t="shared" si="0"/>
        <v>967609.728</v>
      </c>
      <c r="F17" s="13">
        <f t="shared" si="1"/>
        <v>2419024.3199999998</v>
      </c>
      <c r="G17" s="13">
        <f t="shared" si="2"/>
        <v>3870438.912</v>
      </c>
    </row>
    <row r="18" spans="1:7" x14ac:dyDescent="0.2">
      <c r="A18" s="11" t="s">
        <v>188</v>
      </c>
      <c r="B18" s="12">
        <v>45872</v>
      </c>
      <c r="C18" s="13">
        <v>13260627</v>
      </c>
      <c r="D18" s="13">
        <v>156.47999999999999</v>
      </c>
      <c r="E18" s="13">
        <f t="shared" si="0"/>
        <v>717805.05599999998</v>
      </c>
      <c r="F18" s="13">
        <f t="shared" si="1"/>
        <v>1794512.64</v>
      </c>
      <c r="G18" s="13">
        <f t="shared" si="2"/>
        <v>2871220.2239999999</v>
      </c>
    </row>
    <row r="19" spans="1:7" x14ac:dyDescent="0.2">
      <c r="A19" s="11" t="s">
        <v>189</v>
      </c>
      <c r="B19" s="12">
        <v>39582</v>
      </c>
      <c r="C19" s="13">
        <v>12739399</v>
      </c>
      <c r="D19" s="13">
        <v>156.47999999999999</v>
      </c>
      <c r="E19" s="13">
        <f t="shared" si="0"/>
        <v>619379.13599999994</v>
      </c>
      <c r="F19" s="13">
        <f t="shared" si="1"/>
        <v>1548447.8399999999</v>
      </c>
      <c r="G19" s="13">
        <f t="shared" si="2"/>
        <v>2477516.5439999998</v>
      </c>
    </row>
    <row r="20" spans="1:7" x14ac:dyDescent="0.2">
      <c r="A20" s="11" t="s">
        <v>190</v>
      </c>
      <c r="B20" s="12">
        <v>24578</v>
      </c>
      <c r="C20" s="13">
        <v>7633060</v>
      </c>
      <c r="D20" s="13">
        <v>156.47999999999999</v>
      </c>
      <c r="E20" s="13">
        <f t="shared" si="0"/>
        <v>384596.54399999999</v>
      </c>
      <c r="F20" s="13">
        <f t="shared" si="1"/>
        <v>961491.36</v>
      </c>
      <c r="G20" s="13">
        <f t="shared" si="2"/>
        <v>1538386.176</v>
      </c>
    </row>
    <row r="21" spans="1:7" x14ac:dyDescent="0.2">
      <c r="A21" s="11" t="s">
        <v>191</v>
      </c>
      <c r="B21" s="12">
        <v>7116</v>
      </c>
      <c r="C21" s="13">
        <v>1657118</v>
      </c>
      <c r="D21" s="13">
        <v>156.47999999999999</v>
      </c>
      <c r="E21" s="13">
        <f t="shared" si="0"/>
        <v>111351.16800000001</v>
      </c>
      <c r="F21" s="13">
        <f t="shared" si="1"/>
        <v>278377.92</v>
      </c>
      <c r="G21" s="13">
        <f t="shared" si="2"/>
        <v>445404.67200000002</v>
      </c>
    </row>
    <row r="22" spans="1:7" x14ac:dyDescent="0.2">
      <c r="A22" s="11" t="s">
        <v>192</v>
      </c>
      <c r="B22" s="12">
        <v>5938</v>
      </c>
      <c r="C22" s="13">
        <v>1746529</v>
      </c>
      <c r="D22" s="13">
        <v>156.47999999999999</v>
      </c>
      <c r="E22" s="13">
        <f t="shared" si="0"/>
        <v>92917.824000000008</v>
      </c>
      <c r="F22" s="13">
        <f t="shared" si="1"/>
        <v>232294.56</v>
      </c>
      <c r="G22" s="13">
        <f t="shared" si="2"/>
        <v>371671.29600000003</v>
      </c>
    </row>
    <row r="23" spans="1:7" x14ac:dyDescent="0.2">
      <c r="A23" s="11" t="s">
        <v>193</v>
      </c>
      <c r="B23" s="12">
        <v>4898</v>
      </c>
      <c r="C23" s="13">
        <v>1548390</v>
      </c>
      <c r="D23" s="13">
        <v>156.47999999999999</v>
      </c>
      <c r="E23" s="13">
        <f t="shared" si="0"/>
        <v>76643.903999999995</v>
      </c>
      <c r="F23" s="13">
        <f t="shared" si="1"/>
        <v>191609.75999999998</v>
      </c>
      <c r="G23" s="13">
        <f t="shared" si="2"/>
        <v>306575.61599999998</v>
      </c>
    </row>
    <row r="24" spans="1:7" x14ac:dyDescent="0.2">
      <c r="A24" s="11" t="s">
        <v>194</v>
      </c>
      <c r="B24" s="12">
        <v>4823</v>
      </c>
      <c r="C24" s="13">
        <v>1419553</v>
      </c>
      <c r="D24" s="13">
        <v>156.47999999999999</v>
      </c>
      <c r="E24" s="13">
        <f t="shared" si="0"/>
        <v>75470.303999999989</v>
      </c>
      <c r="F24" s="13">
        <f t="shared" si="1"/>
        <v>188675.75999999998</v>
      </c>
      <c r="G24" s="13">
        <f t="shared" si="2"/>
        <v>301881.21599999996</v>
      </c>
    </row>
    <row r="25" spans="1:7" x14ac:dyDescent="0.2">
      <c r="A25" s="11" t="s">
        <v>195</v>
      </c>
      <c r="B25" s="12">
        <v>4290</v>
      </c>
      <c r="C25" s="13">
        <v>1405306</v>
      </c>
      <c r="D25" s="13">
        <v>156.47999999999999</v>
      </c>
      <c r="E25" s="13">
        <f t="shared" si="0"/>
        <v>67129.919999999998</v>
      </c>
      <c r="F25" s="13">
        <f t="shared" si="1"/>
        <v>167824.8</v>
      </c>
      <c r="G25" s="13">
        <f t="shared" si="2"/>
        <v>268519.67999999999</v>
      </c>
    </row>
    <row r="26" spans="1:7" x14ac:dyDescent="0.2">
      <c r="A26" s="11" t="s">
        <v>196</v>
      </c>
      <c r="B26" s="12">
        <v>3417</v>
      </c>
      <c r="C26" s="13">
        <v>838572</v>
      </c>
      <c r="D26" s="13">
        <v>156.47999999999999</v>
      </c>
      <c r="E26" s="13">
        <f t="shared" si="0"/>
        <v>53469.215999999993</v>
      </c>
      <c r="F26" s="13">
        <f t="shared" si="1"/>
        <v>133673.03999999998</v>
      </c>
      <c r="G26" s="13">
        <f t="shared" si="2"/>
        <v>213876.86399999997</v>
      </c>
    </row>
    <row r="27" spans="1:7" x14ac:dyDescent="0.2">
      <c r="A27" s="11" t="s">
        <v>197</v>
      </c>
      <c r="B27" s="12">
        <v>3190</v>
      </c>
      <c r="C27" s="13">
        <v>1000248</v>
      </c>
      <c r="D27" s="13">
        <v>156.47999999999999</v>
      </c>
      <c r="E27" s="13">
        <f t="shared" si="0"/>
        <v>49917.119999999995</v>
      </c>
      <c r="F27" s="13">
        <f t="shared" si="1"/>
        <v>124792.79999999999</v>
      </c>
      <c r="G27" s="13">
        <f t="shared" si="2"/>
        <v>199668.47999999998</v>
      </c>
    </row>
    <row r="28" spans="1:7" x14ac:dyDescent="0.2">
      <c r="A28" s="11" t="s">
        <v>198</v>
      </c>
      <c r="B28" s="12">
        <v>3102</v>
      </c>
      <c r="C28" s="13">
        <v>981507</v>
      </c>
      <c r="D28" s="13">
        <v>156.47999999999999</v>
      </c>
      <c r="E28" s="13">
        <f t="shared" si="0"/>
        <v>48540.095999999998</v>
      </c>
      <c r="F28" s="13">
        <f t="shared" si="1"/>
        <v>121350.23999999999</v>
      </c>
      <c r="G28" s="13">
        <f t="shared" si="2"/>
        <v>194160.38399999999</v>
      </c>
    </row>
    <row r="29" spans="1:7" x14ac:dyDescent="0.2">
      <c r="A29" s="11" t="s">
        <v>199</v>
      </c>
      <c r="B29" s="12">
        <v>3096</v>
      </c>
      <c r="C29" s="13">
        <v>981659</v>
      </c>
      <c r="D29" s="13">
        <v>156.47999999999999</v>
      </c>
      <c r="E29" s="13">
        <f t="shared" si="0"/>
        <v>48446.207999999999</v>
      </c>
      <c r="F29" s="13">
        <f t="shared" si="1"/>
        <v>121115.51999999999</v>
      </c>
      <c r="G29" s="13">
        <f t="shared" si="2"/>
        <v>193784.83199999999</v>
      </c>
    </row>
    <row r="30" spans="1:7" x14ac:dyDescent="0.2">
      <c r="A30" s="11" t="s">
        <v>200</v>
      </c>
      <c r="B30" s="12">
        <v>2727</v>
      </c>
      <c r="C30" s="13">
        <v>872311</v>
      </c>
      <c r="D30" s="13">
        <v>156.47999999999999</v>
      </c>
      <c r="E30" s="13">
        <f t="shared" si="0"/>
        <v>42672.095999999998</v>
      </c>
      <c r="F30" s="13">
        <f t="shared" si="1"/>
        <v>106680.23999999999</v>
      </c>
      <c r="G30" s="13">
        <f t="shared" si="2"/>
        <v>170688.38399999999</v>
      </c>
    </row>
    <row r="31" spans="1:7" x14ac:dyDescent="0.2">
      <c r="A31" s="11" t="s">
        <v>201</v>
      </c>
      <c r="B31" s="12">
        <v>2388</v>
      </c>
      <c r="C31" s="13">
        <v>703982</v>
      </c>
      <c r="D31" s="13">
        <v>156.47999999999999</v>
      </c>
      <c r="E31" s="13">
        <f t="shared" si="0"/>
        <v>37367.423999999999</v>
      </c>
      <c r="F31" s="13">
        <f t="shared" si="1"/>
        <v>93418.559999999998</v>
      </c>
      <c r="G31" s="13">
        <f t="shared" si="2"/>
        <v>149469.696</v>
      </c>
    </row>
    <row r="32" spans="1:7" x14ac:dyDescent="0.2">
      <c r="A32" s="11" t="s">
        <v>202</v>
      </c>
      <c r="B32" s="12">
        <v>1878</v>
      </c>
      <c r="C32" s="13">
        <v>553733</v>
      </c>
      <c r="D32" s="13">
        <v>156.47999999999999</v>
      </c>
      <c r="E32" s="13">
        <f t="shared" si="0"/>
        <v>29386.944000000003</v>
      </c>
      <c r="F32" s="13">
        <f t="shared" si="1"/>
        <v>73467.360000000001</v>
      </c>
      <c r="G32" s="13">
        <f t="shared" si="2"/>
        <v>117547.77600000001</v>
      </c>
    </row>
    <row r="33" spans="1:7" x14ac:dyDescent="0.2">
      <c r="A33" s="11" t="s">
        <v>203</v>
      </c>
      <c r="B33" s="12">
        <v>1814</v>
      </c>
      <c r="C33" s="13">
        <v>555085</v>
      </c>
      <c r="D33" s="13">
        <v>156.47999999999999</v>
      </c>
      <c r="E33" s="13">
        <f t="shared" si="0"/>
        <v>28385.471999999998</v>
      </c>
      <c r="F33" s="13">
        <f t="shared" si="1"/>
        <v>70963.679999999993</v>
      </c>
      <c r="G33" s="13">
        <f t="shared" si="2"/>
        <v>113541.88799999999</v>
      </c>
    </row>
    <row r="34" spans="1:7" x14ac:dyDescent="0.2">
      <c r="A34" s="11" t="s">
        <v>204</v>
      </c>
      <c r="B34" s="12">
        <v>1440</v>
      </c>
      <c r="C34" s="13">
        <v>338717</v>
      </c>
      <c r="D34" s="13">
        <v>156.47999999999999</v>
      </c>
      <c r="E34" s="13">
        <f t="shared" si="0"/>
        <v>22533.119999999999</v>
      </c>
      <c r="F34" s="13">
        <f t="shared" si="1"/>
        <v>56332.799999999996</v>
      </c>
      <c r="G34" s="13">
        <f t="shared" si="2"/>
        <v>90132.479999999996</v>
      </c>
    </row>
    <row r="35" spans="1:7" x14ac:dyDescent="0.2">
      <c r="A35" s="11" t="s">
        <v>205</v>
      </c>
      <c r="B35" s="12">
        <v>1414</v>
      </c>
      <c r="C35" s="13">
        <v>437655</v>
      </c>
      <c r="D35" s="13">
        <v>156.47999999999999</v>
      </c>
      <c r="E35" s="13">
        <f t="shared" si="0"/>
        <v>22126.271999999997</v>
      </c>
      <c r="F35" s="13">
        <f t="shared" si="1"/>
        <v>55315.679999999993</v>
      </c>
      <c r="G35" s="13">
        <f t="shared" si="2"/>
        <v>88505.087999999989</v>
      </c>
    </row>
    <row r="36" spans="1:7" x14ac:dyDescent="0.2">
      <c r="A36" s="11" t="s">
        <v>206</v>
      </c>
      <c r="B36" s="12">
        <v>1364</v>
      </c>
      <c r="C36" s="13">
        <v>409445</v>
      </c>
      <c r="D36" s="13">
        <v>156.47999999999999</v>
      </c>
      <c r="E36" s="13">
        <f t="shared" si="0"/>
        <v>21343.871999999999</v>
      </c>
      <c r="F36" s="13">
        <f t="shared" si="1"/>
        <v>53359.679999999993</v>
      </c>
      <c r="G36" s="13">
        <f t="shared" si="2"/>
        <v>85375.487999999998</v>
      </c>
    </row>
    <row r="37" spans="1:7" x14ac:dyDescent="0.2">
      <c r="A37" s="11" t="s">
        <v>207</v>
      </c>
      <c r="B37" s="12">
        <v>1068</v>
      </c>
      <c r="C37" s="13">
        <v>327757</v>
      </c>
      <c r="D37" s="13">
        <v>156.47999999999999</v>
      </c>
      <c r="E37" s="13">
        <f t="shared" si="0"/>
        <v>16712.063999999998</v>
      </c>
      <c r="F37" s="13">
        <f t="shared" si="1"/>
        <v>41780.159999999996</v>
      </c>
      <c r="G37" s="13">
        <f t="shared" si="2"/>
        <v>66848.255999999994</v>
      </c>
    </row>
    <row r="38" spans="1:7" x14ac:dyDescent="0.2">
      <c r="A38" s="11" t="s">
        <v>208</v>
      </c>
      <c r="B38" s="12">
        <v>998</v>
      </c>
      <c r="C38" s="13">
        <v>299970</v>
      </c>
      <c r="D38" s="13">
        <v>156.47999999999999</v>
      </c>
      <c r="E38" s="13">
        <f t="shared" si="0"/>
        <v>15616.703999999998</v>
      </c>
      <c r="F38" s="13">
        <f t="shared" si="1"/>
        <v>39041.759999999995</v>
      </c>
      <c r="G38" s="13">
        <f t="shared" si="2"/>
        <v>62466.815999999992</v>
      </c>
    </row>
    <row r="39" spans="1:7" x14ac:dyDescent="0.2">
      <c r="A39" s="11" t="s">
        <v>209</v>
      </c>
      <c r="B39" s="12">
        <v>977</v>
      </c>
      <c r="C39" s="13">
        <v>320551</v>
      </c>
      <c r="D39" s="13">
        <v>156.47999999999999</v>
      </c>
      <c r="E39" s="13">
        <f t="shared" si="0"/>
        <v>15288.096</v>
      </c>
      <c r="F39" s="13">
        <f t="shared" si="1"/>
        <v>38220.239999999998</v>
      </c>
      <c r="G39" s="13">
        <f t="shared" si="2"/>
        <v>61152.383999999998</v>
      </c>
    </row>
    <row r="40" spans="1:7" x14ac:dyDescent="0.2">
      <c r="A40" s="11" t="s">
        <v>210</v>
      </c>
      <c r="B40" s="12">
        <v>727</v>
      </c>
      <c r="C40" s="13">
        <v>203182</v>
      </c>
      <c r="D40" s="13">
        <v>156.47999999999999</v>
      </c>
      <c r="E40" s="13">
        <f t="shared" si="0"/>
        <v>11376.096</v>
      </c>
      <c r="F40" s="13">
        <f t="shared" si="1"/>
        <v>28440.239999999998</v>
      </c>
      <c r="G40" s="13">
        <f t="shared" si="2"/>
        <v>45504.383999999998</v>
      </c>
    </row>
    <row r="41" spans="1:7" x14ac:dyDescent="0.2">
      <c r="A41" s="11" t="s">
        <v>211</v>
      </c>
      <c r="B41" s="12">
        <v>703</v>
      </c>
      <c r="C41" s="13">
        <v>219958</v>
      </c>
      <c r="D41" s="13">
        <v>156.47999999999999</v>
      </c>
      <c r="E41" s="13">
        <f t="shared" si="0"/>
        <v>11000.544</v>
      </c>
      <c r="F41" s="13">
        <f t="shared" si="1"/>
        <v>27501.359999999997</v>
      </c>
      <c r="G41" s="13">
        <f t="shared" si="2"/>
        <v>44002.175999999999</v>
      </c>
    </row>
    <row r="42" spans="1:7" x14ac:dyDescent="0.2">
      <c r="A42" s="11" t="s">
        <v>212</v>
      </c>
      <c r="B42" s="12">
        <v>679</v>
      </c>
      <c r="C42" s="13">
        <v>209391</v>
      </c>
      <c r="D42" s="13">
        <v>156.47999999999999</v>
      </c>
      <c r="E42" s="13">
        <f t="shared" si="0"/>
        <v>10624.992</v>
      </c>
      <c r="F42" s="13">
        <f t="shared" si="1"/>
        <v>26562.48</v>
      </c>
      <c r="G42" s="13">
        <f t="shared" si="2"/>
        <v>42499.968000000001</v>
      </c>
    </row>
    <row r="43" spans="1:7" x14ac:dyDescent="0.2">
      <c r="A43" s="11" t="s">
        <v>213</v>
      </c>
      <c r="B43" s="12">
        <v>659</v>
      </c>
      <c r="C43" s="13">
        <v>231082</v>
      </c>
      <c r="D43" s="13">
        <v>156.47999999999999</v>
      </c>
      <c r="E43" s="13">
        <f t="shared" si="0"/>
        <v>10312.031999999999</v>
      </c>
      <c r="F43" s="13">
        <f t="shared" si="1"/>
        <v>25780.079999999998</v>
      </c>
      <c r="G43" s="13">
        <f t="shared" si="2"/>
        <v>41248.127999999997</v>
      </c>
    </row>
    <row r="44" spans="1:7" x14ac:dyDescent="0.2">
      <c r="A44" s="11" t="s">
        <v>214</v>
      </c>
      <c r="B44" s="12">
        <v>616</v>
      </c>
      <c r="C44" s="13">
        <v>198783</v>
      </c>
      <c r="D44" s="13">
        <v>156.47999999999999</v>
      </c>
      <c r="E44" s="13">
        <f t="shared" ref="E44:E78" si="3">$B44*$D44*$B$5</f>
        <v>9639.1679999999997</v>
      </c>
      <c r="F44" s="13">
        <f t="shared" ref="F44:F78" si="4">$B44*$D44*$B$6</f>
        <v>24097.919999999998</v>
      </c>
      <c r="G44" s="13">
        <f t="shared" ref="G44:G78" si="5">$B44*$D44*$B$7</f>
        <v>38556.671999999999</v>
      </c>
    </row>
    <row r="45" spans="1:7" x14ac:dyDescent="0.2">
      <c r="A45" s="11" t="s">
        <v>215</v>
      </c>
      <c r="B45" s="12">
        <v>612</v>
      </c>
      <c r="C45" s="13">
        <v>173234</v>
      </c>
      <c r="D45" s="13">
        <v>156.47999999999999</v>
      </c>
      <c r="E45" s="13">
        <f t="shared" si="3"/>
        <v>9576.5759999999991</v>
      </c>
      <c r="F45" s="13">
        <f t="shared" si="4"/>
        <v>23941.439999999999</v>
      </c>
      <c r="G45" s="13">
        <f t="shared" si="5"/>
        <v>38306.303999999996</v>
      </c>
    </row>
    <row r="46" spans="1:7" x14ac:dyDescent="0.2">
      <c r="A46" s="11" t="s">
        <v>216</v>
      </c>
      <c r="B46" s="12">
        <v>423</v>
      </c>
      <c r="C46" s="13">
        <v>118585</v>
      </c>
      <c r="D46" s="13">
        <v>156.47999999999999</v>
      </c>
      <c r="E46" s="13">
        <f t="shared" si="3"/>
        <v>6619.1039999999994</v>
      </c>
      <c r="F46" s="13">
        <f t="shared" si="4"/>
        <v>16547.759999999998</v>
      </c>
      <c r="G46" s="13">
        <f t="shared" si="5"/>
        <v>26476.415999999997</v>
      </c>
    </row>
    <row r="47" spans="1:7" x14ac:dyDescent="0.2">
      <c r="A47" s="11" t="s">
        <v>217</v>
      </c>
      <c r="B47" s="12">
        <v>370</v>
      </c>
      <c r="C47" s="13">
        <v>113138</v>
      </c>
      <c r="D47" s="13">
        <v>156.47999999999999</v>
      </c>
      <c r="E47" s="13">
        <f t="shared" si="3"/>
        <v>5789.76</v>
      </c>
      <c r="F47" s="13">
        <f t="shared" si="4"/>
        <v>14474.4</v>
      </c>
      <c r="G47" s="13">
        <f t="shared" si="5"/>
        <v>23159.040000000001</v>
      </c>
    </row>
    <row r="48" spans="1:7" x14ac:dyDescent="0.2">
      <c r="A48" s="11" t="s">
        <v>218</v>
      </c>
      <c r="B48" s="12">
        <v>315</v>
      </c>
      <c r="C48" s="13">
        <v>86664</v>
      </c>
      <c r="D48" s="13">
        <v>156.47999999999999</v>
      </c>
      <c r="E48" s="13">
        <f t="shared" si="3"/>
        <v>4929.12</v>
      </c>
      <c r="F48" s="13">
        <f t="shared" si="4"/>
        <v>12322.8</v>
      </c>
      <c r="G48" s="13">
        <f t="shared" si="5"/>
        <v>19716.48</v>
      </c>
    </row>
    <row r="49" spans="1:7" x14ac:dyDescent="0.2">
      <c r="A49" s="11" t="s">
        <v>219</v>
      </c>
      <c r="B49" s="12">
        <v>230</v>
      </c>
      <c r="C49" s="13">
        <v>60766</v>
      </c>
      <c r="D49" s="13">
        <v>156.47999999999999</v>
      </c>
      <c r="E49" s="13">
        <f t="shared" si="3"/>
        <v>3599.0399999999995</v>
      </c>
      <c r="F49" s="13">
        <f t="shared" si="4"/>
        <v>8997.5999999999985</v>
      </c>
      <c r="G49" s="13">
        <f t="shared" si="5"/>
        <v>14396.159999999998</v>
      </c>
    </row>
    <row r="50" spans="1:7" x14ac:dyDescent="0.2">
      <c r="A50" s="11" t="s">
        <v>220</v>
      </c>
      <c r="B50" s="12">
        <v>230</v>
      </c>
      <c r="C50" s="13">
        <v>78369</v>
      </c>
      <c r="D50" s="13">
        <v>156.47999999999999</v>
      </c>
      <c r="E50" s="13">
        <f t="shared" si="3"/>
        <v>3599.0399999999995</v>
      </c>
      <c r="F50" s="13">
        <f t="shared" si="4"/>
        <v>8997.5999999999985</v>
      </c>
      <c r="G50" s="13">
        <f t="shared" si="5"/>
        <v>14396.159999999998</v>
      </c>
    </row>
    <row r="51" spans="1:7" x14ac:dyDescent="0.2">
      <c r="A51" s="11" t="s">
        <v>221</v>
      </c>
      <c r="B51" s="12">
        <v>207</v>
      </c>
      <c r="C51" s="13">
        <v>56519</v>
      </c>
      <c r="D51" s="13">
        <v>156.47999999999999</v>
      </c>
      <c r="E51" s="13">
        <f t="shared" si="3"/>
        <v>3239.136</v>
      </c>
      <c r="F51" s="13">
        <f t="shared" si="4"/>
        <v>8097.8399999999992</v>
      </c>
      <c r="G51" s="13">
        <f t="shared" si="5"/>
        <v>12956.544</v>
      </c>
    </row>
    <row r="52" spans="1:7" x14ac:dyDescent="0.2">
      <c r="A52" s="11" t="s">
        <v>222</v>
      </c>
      <c r="B52" s="12">
        <v>196</v>
      </c>
      <c r="C52" s="13">
        <v>48702</v>
      </c>
      <c r="D52" s="13">
        <v>156.47999999999999</v>
      </c>
      <c r="E52" s="13">
        <f t="shared" si="3"/>
        <v>3067.0079999999998</v>
      </c>
      <c r="F52" s="13">
        <f t="shared" si="4"/>
        <v>7667.5199999999995</v>
      </c>
      <c r="G52" s="13">
        <f t="shared" si="5"/>
        <v>12268.031999999999</v>
      </c>
    </row>
    <row r="53" spans="1:7" x14ac:dyDescent="0.2">
      <c r="A53" s="11" t="s">
        <v>223</v>
      </c>
      <c r="B53" s="12">
        <v>196</v>
      </c>
      <c r="C53" s="13">
        <v>49237</v>
      </c>
      <c r="D53" s="13">
        <v>156.47999999999999</v>
      </c>
      <c r="E53" s="13">
        <f t="shared" si="3"/>
        <v>3067.0079999999998</v>
      </c>
      <c r="F53" s="13">
        <f t="shared" si="4"/>
        <v>7667.5199999999995</v>
      </c>
      <c r="G53" s="13">
        <f t="shared" si="5"/>
        <v>12268.031999999999</v>
      </c>
    </row>
    <row r="54" spans="1:7" x14ac:dyDescent="0.2">
      <c r="A54" s="11" t="s">
        <v>224</v>
      </c>
      <c r="B54" s="12">
        <v>189</v>
      </c>
      <c r="C54" s="13">
        <v>52263</v>
      </c>
      <c r="D54" s="13">
        <v>156.47999999999999</v>
      </c>
      <c r="E54" s="13">
        <f t="shared" si="3"/>
        <v>2957.4719999999998</v>
      </c>
      <c r="F54" s="13">
        <f t="shared" si="4"/>
        <v>7393.6799999999994</v>
      </c>
      <c r="G54" s="13">
        <f t="shared" si="5"/>
        <v>11829.887999999999</v>
      </c>
    </row>
    <row r="55" spans="1:7" x14ac:dyDescent="0.2">
      <c r="A55" s="11" t="s">
        <v>225</v>
      </c>
      <c r="B55" s="12">
        <v>188</v>
      </c>
      <c r="C55" s="13">
        <v>66898</v>
      </c>
      <c r="D55" s="13">
        <v>156.47999999999999</v>
      </c>
      <c r="E55" s="13">
        <f t="shared" si="3"/>
        <v>2941.8240000000001</v>
      </c>
      <c r="F55" s="13">
        <f t="shared" si="4"/>
        <v>7354.5599999999995</v>
      </c>
      <c r="G55" s="13">
        <f t="shared" si="5"/>
        <v>11767.296</v>
      </c>
    </row>
    <row r="56" spans="1:7" x14ac:dyDescent="0.2">
      <c r="A56" s="11" t="s">
        <v>226</v>
      </c>
      <c r="B56" s="12">
        <v>166</v>
      </c>
      <c r="C56" s="13">
        <v>32951</v>
      </c>
      <c r="D56" s="13">
        <v>156.47999999999999</v>
      </c>
      <c r="E56" s="13">
        <f t="shared" si="3"/>
        <v>2597.5679999999998</v>
      </c>
      <c r="F56" s="13">
        <f t="shared" si="4"/>
        <v>6493.9199999999992</v>
      </c>
      <c r="G56" s="13">
        <f t="shared" si="5"/>
        <v>10390.271999999999</v>
      </c>
    </row>
    <row r="57" spans="1:7" x14ac:dyDescent="0.2">
      <c r="A57" s="11" t="s">
        <v>227</v>
      </c>
      <c r="B57" s="12">
        <v>138</v>
      </c>
      <c r="C57" s="13">
        <v>43361</v>
      </c>
      <c r="D57" s="13">
        <v>156.47999999999999</v>
      </c>
      <c r="E57" s="13">
        <f t="shared" si="3"/>
        <v>2159.424</v>
      </c>
      <c r="F57" s="13">
        <f t="shared" si="4"/>
        <v>5398.5599999999995</v>
      </c>
      <c r="G57" s="13">
        <f t="shared" si="5"/>
        <v>8637.6959999999999</v>
      </c>
    </row>
    <row r="58" spans="1:7" x14ac:dyDescent="0.2">
      <c r="A58" s="11" t="s">
        <v>228</v>
      </c>
      <c r="B58" s="12">
        <v>118</v>
      </c>
      <c r="C58" s="13">
        <v>35543</v>
      </c>
      <c r="D58" s="13">
        <v>156.47999999999999</v>
      </c>
      <c r="E58" s="13">
        <f t="shared" si="3"/>
        <v>1846.4639999999999</v>
      </c>
      <c r="F58" s="13">
        <f t="shared" si="4"/>
        <v>4616.16</v>
      </c>
      <c r="G58" s="13">
        <f t="shared" si="5"/>
        <v>7385.8559999999998</v>
      </c>
    </row>
    <row r="59" spans="1:7" x14ac:dyDescent="0.2">
      <c r="A59" s="11" t="s">
        <v>229</v>
      </c>
      <c r="B59" s="12">
        <v>111</v>
      </c>
      <c r="C59" s="13">
        <v>38044</v>
      </c>
      <c r="D59" s="13">
        <v>156.47999999999999</v>
      </c>
      <c r="E59" s="13">
        <f t="shared" si="3"/>
        <v>1736.9279999999999</v>
      </c>
      <c r="F59" s="13">
        <f t="shared" si="4"/>
        <v>4342.32</v>
      </c>
      <c r="G59" s="13">
        <f t="shared" si="5"/>
        <v>6947.7119999999995</v>
      </c>
    </row>
    <row r="60" spans="1:7" x14ac:dyDescent="0.2">
      <c r="A60" s="11" t="s">
        <v>230</v>
      </c>
      <c r="B60" s="12">
        <v>106</v>
      </c>
      <c r="C60" s="13">
        <v>36395</v>
      </c>
      <c r="D60" s="13">
        <v>156.47999999999999</v>
      </c>
      <c r="E60" s="13">
        <f t="shared" si="3"/>
        <v>1658.6879999999999</v>
      </c>
      <c r="F60" s="13">
        <f t="shared" si="4"/>
        <v>4146.7199999999993</v>
      </c>
      <c r="G60" s="13">
        <f t="shared" si="5"/>
        <v>6634.7519999999995</v>
      </c>
    </row>
    <row r="61" spans="1:7" x14ac:dyDescent="0.2">
      <c r="A61" s="11" t="s">
        <v>231</v>
      </c>
      <c r="B61" s="12">
        <v>105</v>
      </c>
      <c r="C61" s="13">
        <v>33752</v>
      </c>
      <c r="D61" s="13">
        <v>156.47999999999999</v>
      </c>
      <c r="E61" s="13">
        <f t="shared" si="3"/>
        <v>1643.04</v>
      </c>
      <c r="F61" s="13">
        <f t="shared" si="4"/>
        <v>4107.5999999999995</v>
      </c>
      <c r="G61" s="13">
        <f t="shared" si="5"/>
        <v>6572.16</v>
      </c>
    </row>
    <row r="62" spans="1:7" x14ac:dyDescent="0.2">
      <c r="A62" s="11" t="s">
        <v>232</v>
      </c>
      <c r="B62" s="12">
        <v>99</v>
      </c>
      <c r="C62" s="13">
        <v>32470</v>
      </c>
      <c r="D62" s="13">
        <v>156.47999999999999</v>
      </c>
      <c r="E62" s="13">
        <f t="shared" si="3"/>
        <v>1549.152</v>
      </c>
      <c r="F62" s="13">
        <f t="shared" si="4"/>
        <v>3872.8799999999997</v>
      </c>
      <c r="G62" s="13">
        <f t="shared" si="5"/>
        <v>6196.6080000000002</v>
      </c>
    </row>
    <row r="63" spans="1:7" x14ac:dyDescent="0.2">
      <c r="A63" s="11" t="s">
        <v>233</v>
      </c>
      <c r="B63" s="12">
        <v>93</v>
      </c>
      <c r="C63" s="13">
        <v>31990</v>
      </c>
      <c r="D63" s="13">
        <v>156.47999999999999</v>
      </c>
      <c r="E63" s="13">
        <f t="shared" si="3"/>
        <v>1455.2640000000001</v>
      </c>
      <c r="F63" s="13">
        <f t="shared" si="4"/>
        <v>3638.16</v>
      </c>
      <c r="G63" s="13">
        <f t="shared" si="5"/>
        <v>5821.0560000000005</v>
      </c>
    </row>
    <row r="64" spans="1:7" x14ac:dyDescent="0.2">
      <c r="A64" s="11" t="s">
        <v>234</v>
      </c>
      <c r="B64" s="12">
        <v>76</v>
      </c>
      <c r="C64" s="13">
        <v>24549</v>
      </c>
      <c r="D64" s="13">
        <v>156.47999999999999</v>
      </c>
      <c r="E64" s="13">
        <f t="shared" si="3"/>
        <v>1189.248</v>
      </c>
      <c r="F64" s="13">
        <f t="shared" si="4"/>
        <v>2973.12</v>
      </c>
      <c r="G64" s="13">
        <f t="shared" si="5"/>
        <v>4756.9920000000002</v>
      </c>
    </row>
    <row r="65" spans="1:7" x14ac:dyDescent="0.2">
      <c r="A65" s="11" t="s">
        <v>235</v>
      </c>
      <c r="B65" s="12">
        <v>72</v>
      </c>
      <c r="C65" s="13">
        <v>22413</v>
      </c>
      <c r="D65" s="13">
        <v>156.47999999999999</v>
      </c>
      <c r="E65" s="13">
        <f t="shared" si="3"/>
        <v>1126.6559999999999</v>
      </c>
      <c r="F65" s="13">
        <f t="shared" si="4"/>
        <v>2816.64</v>
      </c>
      <c r="G65" s="13">
        <f t="shared" si="5"/>
        <v>4506.6239999999998</v>
      </c>
    </row>
    <row r="66" spans="1:7" x14ac:dyDescent="0.2">
      <c r="A66" s="11" t="s">
        <v>236</v>
      </c>
      <c r="B66" s="12">
        <v>72</v>
      </c>
      <c r="C66" s="13">
        <v>25066</v>
      </c>
      <c r="D66" s="13">
        <v>156.47999999999999</v>
      </c>
      <c r="E66" s="13">
        <f t="shared" si="3"/>
        <v>1126.6559999999999</v>
      </c>
      <c r="F66" s="13">
        <f t="shared" si="4"/>
        <v>2816.64</v>
      </c>
      <c r="G66" s="13">
        <f t="shared" si="5"/>
        <v>4506.6239999999998</v>
      </c>
    </row>
    <row r="67" spans="1:7" x14ac:dyDescent="0.2">
      <c r="A67" s="11" t="s">
        <v>237</v>
      </c>
      <c r="B67" s="12">
        <v>67</v>
      </c>
      <c r="C67" s="13">
        <v>22910</v>
      </c>
      <c r="D67" s="13">
        <v>156.47999999999999</v>
      </c>
      <c r="E67" s="13">
        <f t="shared" si="3"/>
        <v>1048.4159999999999</v>
      </c>
      <c r="F67" s="13">
        <f t="shared" si="4"/>
        <v>2621.04</v>
      </c>
      <c r="G67" s="13">
        <f t="shared" si="5"/>
        <v>4193.6639999999998</v>
      </c>
    </row>
    <row r="68" spans="1:7" x14ac:dyDescent="0.2">
      <c r="A68" s="11" t="s">
        <v>238</v>
      </c>
      <c r="B68" s="12">
        <v>64</v>
      </c>
      <c r="C68" s="13">
        <v>20062</v>
      </c>
      <c r="D68" s="13">
        <v>156.47999999999999</v>
      </c>
      <c r="E68" s="13">
        <f t="shared" si="3"/>
        <v>1001.472</v>
      </c>
      <c r="F68" s="13">
        <f t="shared" si="4"/>
        <v>2503.6799999999998</v>
      </c>
      <c r="G68" s="13">
        <f t="shared" si="5"/>
        <v>4005.8879999999999</v>
      </c>
    </row>
    <row r="69" spans="1:7" x14ac:dyDescent="0.2">
      <c r="A69" s="11" t="s">
        <v>239</v>
      </c>
      <c r="B69" s="12">
        <v>44</v>
      </c>
      <c r="C69" s="13">
        <v>14784</v>
      </c>
      <c r="D69" s="13">
        <v>156.47999999999999</v>
      </c>
      <c r="E69" s="13">
        <f t="shared" si="3"/>
        <v>688.51200000000006</v>
      </c>
      <c r="F69" s="13">
        <f t="shared" si="4"/>
        <v>1721.28</v>
      </c>
      <c r="G69" s="13">
        <f t="shared" si="5"/>
        <v>2754.0480000000002</v>
      </c>
    </row>
    <row r="70" spans="1:7" x14ac:dyDescent="0.2">
      <c r="A70" s="11" t="s">
        <v>240</v>
      </c>
      <c r="B70" s="12">
        <v>43</v>
      </c>
      <c r="C70" s="13">
        <v>7091</v>
      </c>
      <c r="D70" s="13">
        <v>156.47999999999999</v>
      </c>
      <c r="E70" s="13">
        <f t="shared" si="3"/>
        <v>672.86400000000003</v>
      </c>
      <c r="F70" s="13">
        <f t="shared" si="4"/>
        <v>1682.1599999999999</v>
      </c>
      <c r="G70" s="13">
        <f t="shared" si="5"/>
        <v>2691.4560000000001</v>
      </c>
    </row>
    <row r="71" spans="1:7" x14ac:dyDescent="0.2">
      <c r="A71" s="11" t="s">
        <v>241</v>
      </c>
      <c r="B71" s="12">
        <v>41</v>
      </c>
      <c r="C71" s="13">
        <v>14520</v>
      </c>
      <c r="D71" s="13">
        <v>156.47999999999999</v>
      </c>
      <c r="E71" s="13">
        <f t="shared" si="3"/>
        <v>641.56799999999998</v>
      </c>
      <c r="F71" s="13">
        <f t="shared" si="4"/>
        <v>1603.9199999999998</v>
      </c>
      <c r="G71" s="13">
        <f t="shared" si="5"/>
        <v>2566.2719999999999</v>
      </c>
    </row>
    <row r="72" spans="1:7" x14ac:dyDescent="0.2">
      <c r="A72" s="11" t="s">
        <v>242</v>
      </c>
      <c r="B72" s="12">
        <v>36</v>
      </c>
      <c r="C72" s="13">
        <v>14338</v>
      </c>
      <c r="D72" s="13">
        <v>156.47999999999999</v>
      </c>
      <c r="E72" s="13">
        <f t="shared" si="3"/>
        <v>563.32799999999997</v>
      </c>
      <c r="F72" s="13">
        <f t="shared" si="4"/>
        <v>1408.32</v>
      </c>
      <c r="G72" s="13">
        <f t="shared" si="5"/>
        <v>2253.3119999999999</v>
      </c>
    </row>
    <row r="73" spans="1:7" x14ac:dyDescent="0.2">
      <c r="A73" s="11" t="s">
        <v>243</v>
      </c>
      <c r="B73" s="12">
        <v>32</v>
      </c>
      <c r="C73" s="13">
        <v>10528</v>
      </c>
      <c r="D73" s="13">
        <v>156.47999999999999</v>
      </c>
      <c r="E73" s="13">
        <f t="shared" si="3"/>
        <v>500.73599999999999</v>
      </c>
      <c r="F73" s="13">
        <f t="shared" si="4"/>
        <v>1251.8399999999999</v>
      </c>
      <c r="G73" s="13">
        <f t="shared" si="5"/>
        <v>2002.944</v>
      </c>
    </row>
    <row r="74" spans="1:7" x14ac:dyDescent="0.2">
      <c r="A74" s="11" t="s">
        <v>244</v>
      </c>
      <c r="B74" s="12">
        <v>25</v>
      </c>
      <c r="C74" s="13">
        <v>5200</v>
      </c>
      <c r="D74" s="13">
        <v>156.47999999999999</v>
      </c>
      <c r="E74" s="13">
        <f t="shared" si="3"/>
        <v>391.2</v>
      </c>
      <c r="F74" s="13">
        <f t="shared" si="4"/>
        <v>977.99999999999989</v>
      </c>
      <c r="G74" s="13">
        <f t="shared" si="5"/>
        <v>1564.8</v>
      </c>
    </row>
    <row r="75" spans="1:7" x14ac:dyDescent="0.2">
      <c r="A75" s="11" t="s">
        <v>245</v>
      </c>
      <c r="B75" s="12">
        <v>25</v>
      </c>
      <c r="C75" s="13">
        <v>8232</v>
      </c>
      <c r="D75" s="13">
        <v>156.47999999999999</v>
      </c>
      <c r="E75" s="13">
        <f t="shared" si="3"/>
        <v>391.2</v>
      </c>
      <c r="F75" s="13">
        <f t="shared" si="4"/>
        <v>977.99999999999989</v>
      </c>
      <c r="G75" s="13">
        <f t="shared" si="5"/>
        <v>1564.8</v>
      </c>
    </row>
    <row r="76" spans="1:7" x14ac:dyDescent="0.2">
      <c r="A76" s="11" t="s">
        <v>246</v>
      </c>
      <c r="B76" s="12">
        <v>21</v>
      </c>
      <c r="C76" s="13">
        <v>6972</v>
      </c>
      <c r="D76" s="13">
        <v>156.47999999999999</v>
      </c>
      <c r="E76" s="13">
        <f t="shared" si="3"/>
        <v>328.608</v>
      </c>
      <c r="F76" s="13">
        <f t="shared" si="4"/>
        <v>821.52</v>
      </c>
      <c r="G76" s="13">
        <f t="shared" si="5"/>
        <v>1314.432</v>
      </c>
    </row>
    <row r="77" spans="1:7" x14ac:dyDescent="0.2">
      <c r="A77" s="11" t="s">
        <v>247</v>
      </c>
      <c r="B77" s="12">
        <v>12</v>
      </c>
      <c r="C77" s="13">
        <v>1331</v>
      </c>
      <c r="D77" s="13">
        <v>156.47999999999999</v>
      </c>
      <c r="E77" s="13">
        <f t="shared" si="3"/>
        <v>187.77599999999998</v>
      </c>
      <c r="F77" s="13">
        <f t="shared" si="4"/>
        <v>469.43999999999994</v>
      </c>
      <c r="G77" s="13">
        <f t="shared" si="5"/>
        <v>751.10399999999993</v>
      </c>
    </row>
    <row r="78" spans="1:7" x14ac:dyDescent="0.2">
      <c r="A78" s="11" t="s">
        <v>248</v>
      </c>
      <c r="B78" s="12">
        <v>11</v>
      </c>
      <c r="C78" s="13">
        <v>3834</v>
      </c>
      <c r="D78" s="13">
        <v>156.47999999999999</v>
      </c>
      <c r="E78" s="13">
        <f t="shared" si="3"/>
        <v>172.12800000000001</v>
      </c>
      <c r="F78" s="13">
        <f t="shared" si="4"/>
        <v>430.32</v>
      </c>
      <c r="G78" s="13">
        <f t="shared" si="5"/>
        <v>688.51200000000006</v>
      </c>
    </row>
    <row r="79" spans="1:7" x14ac:dyDescent="0.2">
      <c r="A79" s="7" t="s">
        <v>249</v>
      </c>
      <c r="B79" s="17">
        <f>SUM(B12:B78)</f>
        <v>1809060</v>
      </c>
      <c r="C79" s="18">
        <f>SUM(C12:C78)</f>
        <v>561873503</v>
      </c>
      <c r="E79" s="18">
        <f>SUM(E12:E78)</f>
        <v>28308170.880000006</v>
      </c>
      <c r="F79" s="18">
        <f>SUM(F12:F78)</f>
        <v>70770427.200000003</v>
      </c>
      <c r="G79" s="18">
        <f>SUM(G12:G78)</f>
        <v>113232683.52000003</v>
      </c>
    </row>
    <row r="81" spans="1:7" x14ac:dyDescent="0.2">
      <c r="A81" s="7" t="s">
        <v>250</v>
      </c>
      <c r="E81" s="18">
        <f>SUM(E12:E13)</f>
        <v>16011471.743999999</v>
      </c>
      <c r="F81" s="18">
        <f>SUM(F12:F13)</f>
        <v>40028679.359999999</v>
      </c>
      <c r="G81" s="18">
        <f>SUM(G12:G13)</f>
        <v>64045886.975999996</v>
      </c>
    </row>
    <row r="83" spans="1:7" x14ac:dyDescent="0.2">
      <c r="A83" s="6" t="s">
        <v>251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9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2" width="17" customWidth="1"/>
    <col min="3" max="3" width="28" customWidth="1"/>
    <col min="4" max="4" width="34" customWidth="1"/>
  </cols>
  <sheetData>
    <row r="1" spans="1:4" ht="18" x14ac:dyDescent="0.2">
      <c r="A1" s="5" t="s">
        <v>252</v>
      </c>
    </row>
    <row r="2" spans="1:4" x14ac:dyDescent="0.2">
      <c r="A2" s="6" t="s">
        <v>253</v>
      </c>
    </row>
    <row r="4" spans="1:4" ht="30" customHeight="1" x14ac:dyDescent="0.2">
      <c r="A4" s="10" t="s">
        <v>28</v>
      </c>
      <c r="B4" s="10" t="s">
        <v>29</v>
      </c>
      <c r="C4" s="10" t="s">
        <v>254</v>
      </c>
      <c r="D4" s="10" t="s">
        <v>255</v>
      </c>
    </row>
    <row r="5" spans="1:4" x14ac:dyDescent="0.2">
      <c r="A5" s="11" t="s">
        <v>256</v>
      </c>
      <c r="B5" s="12">
        <v>2225337</v>
      </c>
      <c r="C5" s="11">
        <v>1</v>
      </c>
      <c r="D5" s="11" t="s">
        <v>257</v>
      </c>
    </row>
    <row r="6" spans="1:4" x14ac:dyDescent="0.2">
      <c r="A6" s="11" t="s">
        <v>258</v>
      </c>
      <c r="B6" s="12">
        <v>301809</v>
      </c>
      <c r="C6" s="11">
        <v>1</v>
      </c>
      <c r="D6" s="11" t="s">
        <v>257</v>
      </c>
    </row>
    <row r="7" spans="1:4" x14ac:dyDescent="0.2">
      <c r="A7" s="11" t="s">
        <v>259</v>
      </c>
      <c r="B7" s="12">
        <v>1830149</v>
      </c>
      <c r="C7" s="11">
        <v>7</v>
      </c>
      <c r="D7" s="11" t="s">
        <v>257</v>
      </c>
    </row>
    <row r="8" spans="1:4" x14ac:dyDescent="0.2">
      <c r="A8" s="11" t="s">
        <v>260</v>
      </c>
      <c r="B8" s="12">
        <v>16454</v>
      </c>
      <c r="C8" s="11">
        <v>5</v>
      </c>
      <c r="D8" s="11" t="s">
        <v>257</v>
      </c>
    </row>
    <row r="9" spans="1:4" x14ac:dyDescent="0.2">
      <c r="A9" s="11" t="s">
        <v>261</v>
      </c>
      <c r="B9" s="12">
        <v>72850</v>
      </c>
      <c r="C9" s="11">
        <v>1</v>
      </c>
      <c r="D9" s="11" t="s">
        <v>257</v>
      </c>
    </row>
    <row r="10" spans="1:4" x14ac:dyDescent="0.2">
      <c r="A10" s="11" t="s">
        <v>262</v>
      </c>
      <c r="B10" s="12">
        <v>79642</v>
      </c>
      <c r="C10" s="11">
        <v>3</v>
      </c>
      <c r="D10" s="11" t="s">
        <v>257</v>
      </c>
    </row>
    <row r="11" spans="1:4" x14ac:dyDescent="0.2">
      <c r="A11" s="11" t="s">
        <v>263</v>
      </c>
      <c r="B11" s="12">
        <v>21116</v>
      </c>
      <c r="C11" s="11">
        <v>1</v>
      </c>
      <c r="D11" s="11" t="s">
        <v>257</v>
      </c>
    </row>
    <row r="12" spans="1:4" x14ac:dyDescent="0.2">
      <c r="A12" s="11" t="s">
        <v>264</v>
      </c>
      <c r="B12" s="12">
        <v>9250</v>
      </c>
      <c r="C12" s="11">
        <v>3</v>
      </c>
      <c r="D12" s="11" t="s">
        <v>257</v>
      </c>
    </row>
    <row r="13" spans="1:4" x14ac:dyDescent="0.2">
      <c r="A13" s="11" t="s">
        <v>265</v>
      </c>
      <c r="B13" s="12">
        <v>135966</v>
      </c>
      <c r="C13" s="11">
        <v>1</v>
      </c>
      <c r="D13" s="11" t="s">
        <v>257</v>
      </c>
    </row>
    <row r="14" spans="1:4" x14ac:dyDescent="0.2">
      <c r="A14" s="11" t="s">
        <v>266</v>
      </c>
      <c r="B14" s="12">
        <v>7540</v>
      </c>
      <c r="C14" s="11">
        <v>1</v>
      </c>
      <c r="D14" s="11" t="s">
        <v>257</v>
      </c>
    </row>
    <row r="15" spans="1:4" x14ac:dyDescent="0.2">
      <c r="A15" s="11" t="s">
        <v>267</v>
      </c>
      <c r="B15" s="12">
        <v>2190</v>
      </c>
      <c r="C15" s="11">
        <v>1</v>
      </c>
      <c r="D15" s="11" t="s">
        <v>257</v>
      </c>
    </row>
    <row r="16" spans="1:4" x14ac:dyDescent="0.2">
      <c r="A16" s="11" t="s">
        <v>268</v>
      </c>
      <c r="B16" s="12">
        <v>754</v>
      </c>
      <c r="C16" s="11">
        <v>1</v>
      </c>
      <c r="D16" s="11" t="s">
        <v>257</v>
      </c>
    </row>
    <row r="17" spans="1:4" x14ac:dyDescent="0.2">
      <c r="A17" s="11" t="s">
        <v>269</v>
      </c>
      <c r="B17" s="12">
        <v>5102</v>
      </c>
      <c r="C17" s="11">
        <v>1</v>
      </c>
      <c r="D17" s="11" t="s">
        <v>257</v>
      </c>
    </row>
    <row r="18" spans="1:4" x14ac:dyDescent="0.2">
      <c r="A18" s="11" t="s">
        <v>270</v>
      </c>
      <c r="B18" s="12">
        <v>4998</v>
      </c>
      <c r="C18" s="11">
        <v>1</v>
      </c>
      <c r="D18" s="11" t="s">
        <v>257</v>
      </c>
    </row>
    <row r="19" spans="1:4" x14ac:dyDescent="0.2">
      <c r="A19" s="11" t="s">
        <v>271</v>
      </c>
      <c r="B19" s="12">
        <v>15022</v>
      </c>
      <c r="C19" s="11">
        <v>2</v>
      </c>
      <c r="D19" s="11" t="s">
        <v>257</v>
      </c>
    </row>
    <row r="20" spans="1:4" x14ac:dyDescent="0.2">
      <c r="A20" s="11" t="s">
        <v>272</v>
      </c>
      <c r="B20" s="12">
        <v>7000</v>
      </c>
      <c r="C20" s="11">
        <v>7</v>
      </c>
      <c r="D20" s="11" t="s">
        <v>257</v>
      </c>
    </row>
    <row r="21" spans="1:4" x14ac:dyDescent="0.2">
      <c r="A21" s="11" t="s">
        <v>273</v>
      </c>
      <c r="B21" s="12">
        <v>10363</v>
      </c>
      <c r="C21" s="11">
        <v>3</v>
      </c>
      <c r="D21" s="11" t="s">
        <v>257</v>
      </c>
    </row>
    <row r="22" spans="1:4" x14ac:dyDescent="0.2">
      <c r="A22" s="11" t="s">
        <v>274</v>
      </c>
      <c r="B22" s="12">
        <v>6661</v>
      </c>
      <c r="C22" s="11">
        <v>1</v>
      </c>
      <c r="D22" s="11" t="s">
        <v>257</v>
      </c>
    </row>
    <row r="23" spans="1:4" x14ac:dyDescent="0.2">
      <c r="A23" s="11" t="s">
        <v>275</v>
      </c>
      <c r="B23" s="12">
        <v>12621</v>
      </c>
      <c r="C23" s="11">
        <v>1</v>
      </c>
      <c r="D23" s="11" t="s">
        <v>257</v>
      </c>
    </row>
    <row r="24" spans="1:4" x14ac:dyDescent="0.2">
      <c r="A24" s="11" t="s">
        <v>276</v>
      </c>
      <c r="B24" s="12">
        <v>719</v>
      </c>
      <c r="C24" s="11">
        <v>2</v>
      </c>
      <c r="D24" s="11" t="s">
        <v>257</v>
      </c>
    </row>
    <row r="25" spans="1:4" x14ac:dyDescent="0.2">
      <c r="A25" s="11" t="s">
        <v>277</v>
      </c>
      <c r="B25" s="12">
        <v>9662</v>
      </c>
      <c r="C25" s="11">
        <v>1</v>
      </c>
      <c r="D25" s="11" t="s">
        <v>257</v>
      </c>
    </row>
    <row r="26" spans="1:4" x14ac:dyDescent="0.2">
      <c r="A26" s="11" t="s">
        <v>278</v>
      </c>
      <c r="B26" s="12">
        <v>8846</v>
      </c>
      <c r="C26" s="11">
        <v>4</v>
      </c>
      <c r="D26" s="11" t="s">
        <v>257</v>
      </c>
    </row>
    <row r="27" spans="1:4" x14ac:dyDescent="0.2">
      <c r="A27" s="11" t="s">
        <v>279</v>
      </c>
      <c r="B27" s="12">
        <v>451</v>
      </c>
      <c r="C27" s="11">
        <v>1</v>
      </c>
      <c r="D27" s="11" t="s">
        <v>257</v>
      </c>
    </row>
    <row r="28" spans="1:4" x14ac:dyDescent="0.2">
      <c r="A28" s="11" t="s">
        <v>280</v>
      </c>
      <c r="B28" s="12">
        <v>6140</v>
      </c>
      <c r="C28" s="11">
        <v>1</v>
      </c>
      <c r="D28" s="11" t="s">
        <v>257</v>
      </c>
    </row>
    <row r="29" spans="1:4" x14ac:dyDescent="0.2">
      <c r="A29" s="11" t="s">
        <v>281</v>
      </c>
      <c r="B29" s="12">
        <v>15030</v>
      </c>
      <c r="C29" s="11">
        <v>1</v>
      </c>
      <c r="D29" s="11" t="s">
        <v>257</v>
      </c>
    </row>
    <row r="30" spans="1:4" x14ac:dyDescent="0.2">
      <c r="A30" s="11" t="s">
        <v>282</v>
      </c>
      <c r="B30" s="12">
        <v>1248</v>
      </c>
      <c r="C30" s="11">
        <v>1</v>
      </c>
      <c r="D30" s="11" t="s">
        <v>257</v>
      </c>
    </row>
    <row r="31" spans="1:4" x14ac:dyDescent="0.2">
      <c r="A31" s="11" t="s">
        <v>283</v>
      </c>
      <c r="B31" s="12">
        <v>6648</v>
      </c>
      <c r="C31" s="11">
        <v>1</v>
      </c>
      <c r="D31" s="11" t="s">
        <v>257</v>
      </c>
    </row>
    <row r="32" spans="1:4" x14ac:dyDescent="0.2">
      <c r="A32" s="11" t="s">
        <v>284</v>
      </c>
      <c r="B32" s="12">
        <v>143478</v>
      </c>
      <c r="C32" s="11">
        <v>4</v>
      </c>
      <c r="D32" s="11" t="s">
        <v>257</v>
      </c>
    </row>
    <row r="33" spans="1:4" x14ac:dyDescent="0.2">
      <c r="A33" s="11" t="s">
        <v>285</v>
      </c>
      <c r="B33" s="12">
        <v>220</v>
      </c>
      <c r="C33" s="11">
        <v>1</v>
      </c>
      <c r="D33" s="11" t="s">
        <v>257</v>
      </c>
    </row>
    <row r="34" spans="1:4" x14ac:dyDescent="0.2">
      <c r="A34" s="11" t="s">
        <v>286</v>
      </c>
      <c r="B34" s="12">
        <v>6109</v>
      </c>
      <c r="C34" s="11">
        <v>5</v>
      </c>
      <c r="D34" s="11" t="s">
        <v>257</v>
      </c>
    </row>
    <row r="35" spans="1:4" x14ac:dyDescent="0.2">
      <c r="A35" s="11" t="s">
        <v>287</v>
      </c>
      <c r="B35" s="12">
        <v>846</v>
      </c>
      <c r="C35" s="11">
        <v>1</v>
      </c>
      <c r="D35" s="11" t="s">
        <v>257</v>
      </c>
    </row>
    <row r="36" spans="1:4" x14ac:dyDescent="0.2">
      <c r="A36" s="11" t="s">
        <v>288</v>
      </c>
      <c r="B36" s="12">
        <v>1879</v>
      </c>
      <c r="C36" s="11">
        <v>11</v>
      </c>
      <c r="D36" s="11" t="s">
        <v>257</v>
      </c>
    </row>
    <row r="37" spans="1:4" x14ac:dyDescent="0.2">
      <c r="A37" s="11" t="s">
        <v>289</v>
      </c>
      <c r="B37" s="12">
        <v>322</v>
      </c>
      <c r="C37" s="11">
        <v>1</v>
      </c>
      <c r="D37" s="11" t="s">
        <v>257</v>
      </c>
    </row>
    <row r="38" spans="1:4" x14ac:dyDescent="0.2">
      <c r="A38" s="11" t="s">
        <v>290</v>
      </c>
      <c r="B38" s="12">
        <v>1624</v>
      </c>
      <c r="C38" s="11">
        <v>2</v>
      </c>
      <c r="D38" s="11" t="s">
        <v>257</v>
      </c>
    </row>
    <row r="39" spans="1:4" x14ac:dyDescent="0.2">
      <c r="A39" s="11" t="s">
        <v>291</v>
      </c>
      <c r="B39" s="12">
        <v>2909</v>
      </c>
      <c r="C39" s="11">
        <v>2</v>
      </c>
      <c r="D39" s="11" t="s">
        <v>257</v>
      </c>
    </row>
    <row r="40" spans="1:4" x14ac:dyDescent="0.2">
      <c r="A40" s="11" t="s">
        <v>292</v>
      </c>
      <c r="B40" s="12">
        <v>1764</v>
      </c>
      <c r="C40" s="11">
        <v>1</v>
      </c>
      <c r="D40" s="11" t="s">
        <v>257</v>
      </c>
    </row>
    <row r="41" spans="1:4" x14ac:dyDescent="0.2">
      <c r="A41" s="11" t="s">
        <v>293</v>
      </c>
      <c r="B41" s="12">
        <v>223</v>
      </c>
      <c r="C41" s="11">
        <v>3</v>
      </c>
      <c r="D41" s="11" t="s">
        <v>257</v>
      </c>
    </row>
    <row r="42" spans="1:4" x14ac:dyDescent="0.2">
      <c r="A42" s="11" t="s">
        <v>294</v>
      </c>
      <c r="B42" s="12">
        <v>435</v>
      </c>
      <c r="C42" s="11">
        <v>2</v>
      </c>
      <c r="D42" s="11" t="s">
        <v>257</v>
      </c>
    </row>
    <row r="43" spans="1:4" x14ac:dyDescent="0.2">
      <c r="A43" s="11" t="s">
        <v>295</v>
      </c>
      <c r="B43" s="12">
        <v>2531</v>
      </c>
      <c r="C43" s="11">
        <v>1</v>
      </c>
      <c r="D43" s="11" t="s">
        <v>257</v>
      </c>
    </row>
    <row r="44" spans="1:4" x14ac:dyDescent="0.2">
      <c r="A44" s="11" t="s">
        <v>296</v>
      </c>
      <c r="B44" s="12">
        <v>6035</v>
      </c>
      <c r="C44" s="11">
        <v>3</v>
      </c>
      <c r="D44" s="11" t="s">
        <v>257</v>
      </c>
    </row>
    <row r="45" spans="1:4" x14ac:dyDescent="0.2">
      <c r="A45" s="11" t="s">
        <v>297</v>
      </c>
      <c r="B45" s="12">
        <v>912</v>
      </c>
      <c r="C45" s="11">
        <v>4</v>
      </c>
      <c r="D45" s="11" t="s">
        <v>257</v>
      </c>
    </row>
    <row r="46" spans="1:4" x14ac:dyDescent="0.2">
      <c r="A46" s="11" t="s">
        <v>298</v>
      </c>
      <c r="B46" s="12">
        <v>226</v>
      </c>
      <c r="C46" s="11">
        <v>2</v>
      </c>
      <c r="D46" s="11" t="s">
        <v>257</v>
      </c>
    </row>
    <row r="47" spans="1:4" x14ac:dyDescent="0.2">
      <c r="A47" s="11" t="s">
        <v>299</v>
      </c>
      <c r="B47" s="12">
        <v>68</v>
      </c>
      <c r="C47" s="11">
        <v>1</v>
      </c>
      <c r="D47" s="11" t="s">
        <v>257</v>
      </c>
    </row>
    <row r="48" spans="1:4" x14ac:dyDescent="0.2">
      <c r="A48" s="11" t="s">
        <v>300</v>
      </c>
      <c r="B48" s="12">
        <v>571</v>
      </c>
      <c r="C48" s="11">
        <v>1</v>
      </c>
      <c r="D48" s="11" t="s">
        <v>257</v>
      </c>
    </row>
    <row r="49" spans="1:4" x14ac:dyDescent="0.2">
      <c r="A49" s="11" t="s">
        <v>301</v>
      </c>
      <c r="B49" s="12">
        <v>660</v>
      </c>
      <c r="C49" s="11">
        <v>5</v>
      </c>
      <c r="D49" s="11" t="s">
        <v>257</v>
      </c>
    </row>
    <row r="50" spans="1:4" x14ac:dyDescent="0.2">
      <c r="A50" s="11" t="s">
        <v>302</v>
      </c>
      <c r="B50" s="12">
        <v>332</v>
      </c>
      <c r="C50" s="11">
        <v>4</v>
      </c>
      <c r="D50" s="11" t="s">
        <v>257</v>
      </c>
    </row>
    <row r="51" spans="1:4" x14ac:dyDescent="0.2">
      <c r="A51" s="11" t="s">
        <v>303</v>
      </c>
      <c r="B51" s="12">
        <v>63</v>
      </c>
      <c r="C51" s="11">
        <v>1</v>
      </c>
      <c r="D51" s="11" t="s">
        <v>257</v>
      </c>
    </row>
    <row r="52" spans="1:4" x14ac:dyDescent="0.2">
      <c r="A52" s="11" t="s">
        <v>304</v>
      </c>
      <c r="B52" s="12">
        <v>445</v>
      </c>
      <c r="C52" s="11">
        <v>3</v>
      </c>
      <c r="D52" s="11" t="s">
        <v>257</v>
      </c>
    </row>
    <row r="53" spans="1:4" x14ac:dyDescent="0.2">
      <c r="A53" s="11" t="s">
        <v>305</v>
      </c>
      <c r="B53" s="12">
        <v>589</v>
      </c>
      <c r="C53" s="11">
        <v>2</v>
      </c>
      <c r="D53" s="11" t="s">
        <v>257</v>
      </c>
    </row>
    <row r="54" spans="1:4" x14ac:dyDescent="0.2">
      <c r="A54" s="11" t="s">
        <v>306</v>
      </c>
      <c r="B54" s="12">
        <v>74</v>
      </c>
      <c r="C54" s="11">
        <v>2</v>
      </c>
      <c r="D54" s="11" t="s">
        <v>257</v>
      </c>
    </row>
    <row r="55" spans="1:4" x14ac:dyDescent="0.2">
      <c r="A55" s="11" t="s">
        <v>307</v>
      </c>
      <c r="B55" s="12">
        <v>194</v>
      </c>
      <c r="C55" s="11">
        <v>2</v>
      </c>
      <c r="D55" s="11" t="s">
        <v>257</v>
      </c>
    </row>
    <row r="56" spans="1:4" x14ac:dyDescent="0.2">
      <c r="A56" s="11" t="s">
        <v>308</v>
      </c>
      <c r="B56" s="12">
        <v>343</v>
      </c>
      <c r="C56" s="11">
        <v>1</v>
      </c>
      <c r="D56" s="11" t="s">
        <v>257</v>
      </c>
    </row>
    <row r="57" spans="1:4" x14ac:dyDescent="0.2">
      <c r="A57" s="11" t="s">
        <v>309</v>
      </c>
      <c r="B57" s="12">
        <v>13</v>
      </c>
      <c r="C57" s="11">
        <v>1</v>
      </c>
      <c r="D57" s="11" t="s">
        <v>257</v>
      </c>
    </row>
    <row r="58" spans="1:4" x14ac:dyDescent="0.2">
      <c r="A58" s="11" t="s">
        <v>310</v>
      </c>
      <c r="B58" s="12">
        <v>155</v>
      </c>
      <c r="C58" s="11">
        <v>1</v>
      </c>
      <c r="D58" s="11" t="s">
        <v>257</v>
      </c>
    </row>
    <row r="59" spans="1:4" x14ac:dyDescent="0.2">
      <c r="A59" s="11" t="s">
        <v>311</v>
      </c>
      <c r="B59" s="12">
        <v>79</v>
      </c>
      <c r="C59" s="11">
        <v>4</v>
      </c>
      <c r="D59" s="11" t="s">
        <v>257</v>
      </c>
    </row>
    <row r="60" spans="1:4" x14ac:dyDescent="0.2">
      <c r="A60" s="11" t="s">
        <v>312</v>
      </c>
      <c r="B60" s="12">
        <v>115</v>
      </c>
      <c r="C60" s="11">
        <v>1</v>
      </c>
      <c r="D60" s="11" t="s">
        <v>257</v>
      </c>
    </row>
    <row r="61" spans="1:4" x14ac:dyDescent="0.2">
      <c r="A61" s="11" t="s">
        <v>313</v>
      </c>
      <c r="B61" s="12">
        <v>186</v>
      </c>
      <c r="C61" s="11">
        <v>4</v>
      </c>
      <c r="D61" s="11" t="s">
        <v>257</v>
      </c>
    </row>
    <row r="62" spans="1:4" x14ac:dyDescent="0.2">
      <c r="A62" s="11" t="s">
        <v>314</v>
      </c>
      <c r="B62" s="12">
        <v>12</v>
      </c>
      <c r="C62" s="11">
        <v>4</v>
      </c>
      <c r="D62" s="11" t="s">
        <v>257</v>
      </c>
    </row>
    <row r="63" spans="1:4" x14ac:dyDescent="0.2">
      <c r="A63" s="11" t="s">
        <v>315</v>
      </c>
      <c r="B63" s="12">
        <v>12</v>
      </c>
      <c r="C63" s="11">
        <v>3</v>
      </c>
      <c r="D63" s="11" t="s">
        <v>257</v>
      </c>
    </row>
    <row r="64" spans="1:4" x14ac:dyDescent="0.2">
      <c r="A64" s="11" t="s">
        <v>316</v>
      </c>
      <c r="B64" s="12">
        <v>22</v>
      </c>
      <c r="C64" s="11">
        <v>2</v>
      </c>
      <c r="D64" s="11" t="s">
        <v>257</v>
      </c>
    </row>
    <row r="65" spans="1:4" x14ac:dyDescent="0.2">
      <c r="A65" s="11" t="s">
        <v>317</v>
      </c>
      <c r="B65" s="12">
        <v>13</v>
      </c>
      <c r="C65" s="11">
        <v>6</v>
      </c>
      <c r="D65" s="11" t="s">
        <v>257</v>
      </c>
    </row>
    <row r="66" spans="1:4" x14ac:dyDescent="0.2">
      <c r="A66" s="11" t="s">
        <v>318</v>
      </c>
      <c r="B66" s="12">
        <v>51</v>
      </c>
      <c r="C66" s="11">
        <v>1</v>
      </c>
      <c r="D66" s="11" t="s">
        <v>257</v>
      </c>
    </row>
    <row r="67" spans="1:4" x14ac:dyDescent="0.2">
      <c r="A67" s="11" t="s">
        <v>319</v>
      </c>
      <c r="B67" s="12">
        <v>48</v>
      </c>
      <c r="C67" s="11">
        <v>2</v>
      </c>
      <c r="D67" s="11" t="s">
        <v>257</v>
      </c>
    </row>
    <row r="68" spans="1:4" x14ac:dyDescent="0.2">
      <c r="A68" s="11" t="s">
        <v>320</v>
      </c>
      <c r="B68" s="12">
        <v>46</v>
      </c>
      <c r="C68" s="11">
        <v>9</v>
      </c>
      <c r="D68" s="11" t="s">
        <v>257</v>
      </c>
    </row>
    <row r="69" spans="1:4" x14ac:dyDescent="0.2">
      <c r="A69" s="11" t="s">
        <v>321</v>
      </c>
      <c r="B69" s="12">
        <v>35</v>
      </c>
      <c r="C69" s="11">
        <v>3</v>
      </c>
      <c r="D69" s="11" t="s">
        <v>257</v>
      </c>
    </row>
    <row r="70" spans="1:4" x14ac:dyDescent="0.2">
      <c r="A70" s="11" t="s">
        <v>322</v>
      </c>
      <c r="B70" s="12">
        <v>147</v>
      </c>
      <c r="C70" s="11">
        <v>2</v>
      </c>
      <c r="D70" s="11" t="s">
        <v>257</v>
      </c>
    </row>
    <row r="71" spans="1:4" x14ac:dyDescent="0.2">
      <c r="A71" s="11" t="s">
        <v>323</v>
      </c>
      <c r="B71" s="12">
        <v>29</v>
      </c>
      <c r="C71" s="11">
        <v>3</v>
      </c>
      <c r="D71" s="11" t="s">
        <v>257</v>
      </c>
    </row>
    <row r="72" spans="1:4" x14ac:dyDescent="0.2">
      <c r="A72" s="11" t="s">
        <v>324</v>
      </c>
      <c r="B72" s="12">
        <v>43</v>
      </c>
      <c r="C72" s="11">
        <v>3</v>
      </c>
      <c r="D72" s="11" t="s">
        <v>257</v>
      </c>
    </row>
    <row r="73" spans="1:4" x14ac:dyDescent="0.2">
      <c r="A73" s="11" t="s">
        <v>325</v>
      </c>
      <c r="B73" s="12">
        <v>48</v>
      </c>
      <c r="C73" s="11">
        <v>3</v>
      </c>
      <c r="D73" s="11" t="s">
        <v>257</v>
      </c>
    </row>
    <row r="74" spans="1:4" x14ac:dyDescent="0.2">
      <c r="A74" s="11" t="s">
        <v>326</v>
      </c>
      <c r="B74" s="12">
        <v>20</v>
      </c>
      <c r="C74" s="11">
        <v>1</v>
      </c>
      <c r="D74" s="11" t="s">
        <v>257</v>
      </c>
    </row>
    <row r="76" spans="1:4" x14ac:dyDescent="0.2">
      <c r="A76" s="7" t="s">
        <v>327</v>
      </c>
    </row>
    <row r="77" spans="1:4" ht="15" customHeight="1" x14ac:dyDescent="0.2">
      <c r="A77" s="1" t="s">
        <v>328</v>
      </c>
      <c r="B77" s="1"/>
      <c r="C77" s="1"/>
      <c r="D77" s="1"/>
    </row>
    <row r="78" spans="1:4" x14ac:dyDescent="0.2">
      <c r="A78" s="1"/>
      <c r="B78" s="1"/>
      <c r="C78" s="1"/>
      <c r="D78" s="1"/>
    </row>
    <row r="79" spans="1:4" x14ac:dyDescent="0.2">
      <c r="A79" s="1"/>
      <c r="B79" s="1"/>
      <c r="C79" s="1"/>
      <c r="D79" s="1"/>
    </row>
  </sheetData>
  <mergeCells count="1">
    <mergeCell ref="A77:D7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52" customWidth="1"/>
    <col min="2" max="2" width="14" customWidth="1"/>
    <col min="3" max="3" width="44" customWidth="1"/>
  </cols>
  <sheetData>
    <row r="1" spans="1:3" ht="18" x14ac:dyDescent="0.2">
      <c r="A1" s="5" t="s">
        <v>329</v>
      </c>
    </row>
    <row r="2" spans="1:3" x14ac:dyDescent="0.2">
      <c r="A2" s="6" t="s">
        <v>330</v>
      </c>
    </row>
    <row r="4" spans="1:3" ht="30" customHeight="1" x14ac:dyDescent="0.2">
      <c r="A4" s="10" t="s">
        <v>331</v>
      </c>
      <c r="B4" s="10" t="s">
        <v>332</v>
      </c>
      <c r="C4" s="10" t="s">
        <v>333</v>
      </c>
    </row>
    <row r="5" spans="1:3" x14ac:dyDescent="0.2">
      <c r="A5" s="11" t="s">
        <v>334</v>
      </c>
      <c r="B5" s="11" t="s">
        <v>335</v>
      </c>
      <c r="C5" s="11" t="s">
        <v>336</v>
      </c>
    </row>
    <row r="6" spans="1:3" x14ac:dyDescent="0.2">
      <c r="A6" s="11" t="s">
        <v>334</v>
      </c>
      <c r="B6" s="11" t="s">
        <v>335</v>
      </c>
      <c r="C6" s="11" t="s">
        <v>337</v>
      </c>
    </row>
    <row r="7" spans="1:3" x14ac:dyDescent="0.2">
      <c r="A7" s="11" t="s">
        <v>338</v>
      </c>
      <c r="B7" s="24" t="s">
        <v>339</v>
      </c>
      <c r="C7" s="11" t="s">
        <v>340</v>
      </c>
    </row>
    <row r="8" spans="1:3" x14ac:dyDescent="0.2">
      <c r="A8" s="11" t="s">
        <v>341</v>
      </c>
      <c r="B8" s="24" t="s">
        <v>339</v>
      </c>
      <c r="C8" s="11" t="s">
        <v>342</v>
      </c>
    </row>
    <row r="9" spans="1:3" x14ac:dyDescent="0.2">
      <c r="A9" s="11" t="s">
        <v>343</v>
      </c>
      <c r="B9" s="24" t="s">
        <v>339</v>
      </c>
      <c r="C9" s="11" t="s">
        <v>344</v>
      </c>
    </row>
    <row r="10" spans="1:3" x14ac:dyDescent="0.2">
      <c r="A10" s="11" t="s">
        <v>345</v>
      </c>
      <c r="B10" s="24" t="s">
        <v>339</v>
      </c>
      <c r="C10" s="11" t="s">
        <v>346</v>
      </c>
    </row>
    <row r="11" spans="1:3" x14ac:dyDescent="0.2">
      <c r="A11" s="11" t="s">
        <v>347</v>
      </c>
      <c r="B11" s="11" t="s">
        <v>335</v>
      </c>
      <c r="C11" s="11" t="s">
        <v>348</v>
      </c>
    </row>
    <row r="12" spans="1:3" x14ac:dyDescent="0.2">
      <c r="A12" s="11" t="s">
        <v>349</v>
      </c>
      <c r="B12" s="24" t="s">
        <v>339</v>
      </c>
      <c r="C12" s="11" t="s">
        <v>344</v>
      </c>
    </row>
    <row r="13" spans="1:3" x14ac:dyDescent="0.2">
      <c r="A13" s="11" t="s">
        <v>350</v>
      </c>
      <c r="B13" s="24" t="s">
        <v>339</v>
      </c>
      <c r="C13" s="11" t="s">
        <v>351</v>
      </c>
    </row>
    <row r="14" spans="1:3" x14ac:dyDescent="0.2">
      <c r="A14" s="11" t="s">
        <v>352</v>
      </c>
      <c r="B14" s="11" t="s">
        <v>335</v>
      </c>
      <c r="C14" s="11" t="s">
        <v>353</v>
      </c>
    </row>
    <row r="15" spans="1:3" x14ac:dyDescent="0.2">
      <c r="A15" s="11" t="s">
        <v>354</v>
      </c>
      <c r="B15" s="24" t="s">
        <v>339</v>
      </c>
      <c r="C15" s="11" t="s">
        <v>355</v>
      </c>
    </row>
    <row r="16" spans="1:3" x14ac:dyDescent="0.2">
      <c r="A16" s="11" t="s">
        <v>356</v>
      </c>
      <c r="B16" s="24" t="s">
        <v>339</v>
      </c>
      <c r="C16" s="11" t="s">
        <v>357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6"/>
  <sheetViews>
    <sheetView showGridLines="0"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18" x14ac:dyDescent="0.2">
      <c r="A1" s="5" t="s">
        <v>358</v>
      </c>
    </row>
    <row r="2" spans="1:1" x14ac:dyDescent="0.2">
      <c r="A2" s="6" t="s">
        <v>359</v>
      </c>
    </row>
    <row r="4" spans="1:1" x14ac:dyDescent="0.2">
      <c r="A4" s="7" t="s">
        <v>360</v>
      </c>
    </row>
    <row r="5" spans="1:1" x14ac:dyDescent="0.2">
      <c r="A5" s="25" t="s">
        <v>361</v>
      </c>
    </row>
    <row r="6" spans="1:1" x14ac:dyDescent="0.2">
      <c r="A6" s="25" t="s">
        <v>362</v>
      </c>
    </row>
    <row r="7" spans="1:1" x14ac:dyDescent="0.2">
      <c r="A7" s="25" t="s">
        <v>363</v>
      </c>
    </row>
    <row r="8" spans="1:1" x14ac:dyDescent="0.2">
      <c r="A8" s="25" t="s">
        <v>364</v>
      </c>
    </row>
    <row r="9" spans="1:1" x14ac:dyDescent="0.2">
      <c r="A9" s="25" t="s">
        <v>365</v>
      </c>
    </row>
    <row r="10" spans="1:1" x14ac:dyDescent="0.2">
      <c r="A10" s="25" t="s">
        <v>366</v>
      </c>
    </row>
    <row r="11" spans="1:1" x14ac:dyDescent="0.2">
      <c r="A11" s="25" t="s">
        <v>367</v>
      </c>
    </row>
    <row r="12" spans="1:1" x14ac:dyDescent="0.2">
      <c r="A12" s="25" t="s">
        <v>368</v>
      </c>
    </row>
    <row r="13" spans="1:1" x14ac:dyDescent="0.2">
      <c r="A13" s="25" t="s">
        <v>369</v>
      </c>
    </row>
    <row r="14" spans="1:1" x14ac:dyDescent="0.2">
      <c r="A14" s="25" t="s">
        <v>370</v>
      </c>
    </row>
    <row r="15" spans="1:1" x14ac:dyDescent="0.2">
      <c r="A15" s="25" t="s">
        <v>371</v>
      </c>
    </row>
    <row r="16" spans="1:1" x14ac:dyDescent="0.2">
      <c r="A16" s="25" t="s">
        <v>372</v>
      </c>
    </row>
    <row r="18" spans="1:1" x14ac:dyDescent="0.2">
      <c r="A18" s="7" t="s">
        <v>373</v>
      </c>
    </row>
    <row r="19" spans="1:1" x14ac:dyDescent="0.2">
      <c r="A19" s="25" t="s">
        <v>374</v>
      </c>
    </row>
    <row r="20" spans="1:1" x14ac:dyDescent="0.2">
      <c r="A20" s="25" t="s">
        <v>362</v>
      </c>
    </row>
    <row r="21" spans="1:1" x14ac:dyDescent="0.2">
      <c r="A21" s="25" t="s">
        <v>363</v>
      </c>
    </row>
    <row r="22" spans="1:1" x14ac:dyDescent="0.2">
      <c r="A22" s="25" t="s">
        <v>375</v>
      </c>
    </row>
    <row r="23" spans="1:1" x14ac:dyDescent="0.2">
      <c r="A23" s="25" t="s">
        <v>376</v>
      </c>
    </row>
    <row r="24" spans="1:1" x14ac:dyDescent="0.2">
      <c r="A24" s="25" t="s">
        <v>377</v>
      </c>
    </row>
    <row r="25" spans="1:1" x14ac:dyDescent="0.2">
      <c r="A25" s="25" t="s">
        <v>378</v>
      </c>
    </row>
    <row r="27" spans="1:1" x14ac:dyDescent="0.2">
      <c r="A27" s="7" t="s">
        <v>379</v>
      </c>
    </row>
    <row r="28" spans="1:1" x14ac:dyDescent="0.2">
      <c r="A28" s="25" t="s">
        <v>380</v>
      </c>
    </row>
    <row r="29" spans="1:1" x14ac:dyDescent="0.2">
      <c r="A29" s="25" t="s">
        <v>381</v>
      </c>
    </row>
    <row r="30" spans="1:1" x14ac:dyDescent="0.2">
      <c r="A30" s="25" t="s">
        <v>382</v>
      </c>
    </row>
    <row r="31" spans="1:1" x14ac:dyDescent="0.2">
      <c r="A31" s="25" t="s">
        <v>383</v>
      </c>
    </row>
    <row r="32" spans="1:1" x14ac:dyDescent="0.2">
      <c r="A32" s="25" t="s">
        <v>384</v>
      </c>
    </row>
    <row r="33" spans="1:1" x14ac:dyDescent="0.2">
      <c r="A33" s="25" t="s">
        <v>385</v>
      </c>
    </row>
    <row r="34" spans="1:1" x14ac:dyDescent="0.2">
      <c r="A34" s="25" t="s">
        <v>386</v>
      </c>
    </row>
    <row r="36" spans="1:1" x14ac:dyDescent="0.2">
      <c r="A36" s="7" t="s">
        <v>387</v>
      </c>
    </row>
    <row r="37" spans="1:1" x14ac:dyDescent="0.2">
      <c r="A37" s="25" t="s">
        <v>388</v>
      </c>
    </row>
    <row r="38" spans="1:1" x14ac:dyDescent="0.2">
      <c r="A38" s="25" t="s">
        <v>389</v>
      </c>
    </row>
    <row r="39" spans="1:1" x14ac:dyDescent="0.2">
      <c r="A39" s="25" t="s">
        <v>390</v>
      </c>
    </row>
    <row r="40" spans="1:1" x14ac:dyDescent="0.2">
      <c r="A40" s="25" t="s">
        <v>391</v>
      </c>
    </row>
    <row r="41" spans="1:1" x14ac:dyDescent="0.2">
      <c r="A41" s="25" t="s">
        <v>392</v>
      </c>
    </row>
    <row r="42" spans="1:1" x14ac:dyDescent="0.2">
      <c r="A42" s="25" t="s">
        <v>393</v>
      </c>
    </row>
    <row r="43" spans="1:1" x14ac:dyDescent="0.2">
      <c r="A43" s="25" t="s">
        <v>394</v>
      </c>
    </row>
    <row r="44" spans="1:1" x14ac:dyDescent="0.2">
      <c r="A44" s="25" t="s">
        <v>395</v>
      </c>
    </row>
    <row r="45" spans="1:1" x14ac:dyDescent="0.2">
      <c r="A45" s="25" t="s">
        <v>396</v>
      </c>
    </row>
    <row r="46" spans="1:1" x14ac:dyDescent="0.2">
      <c r="A46" s="25" t="s">
        <v>397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Targets</vt:lpstr>
      <vt:lpstr>Savings model</vt:lpstr>
      <vt:lpstr>Excluded</vt:lpstr>
      <vt:lpstr>Validation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Thang’</cp:lastModifiedBy>
  <cp:revision>0</cp:revision>
  <dcterms:created xsi:type="dcterms:W3CDTF">2026-09-19T19:37:13Z</dcterms:created>
  <dcterms:modified xsi:type="dcterms:W3CDTF">2026-09-19T19:40:21Z</dcterms:modified>
  <dc:language>en-US</dc:language>
</cp:coreProperties>
</file>